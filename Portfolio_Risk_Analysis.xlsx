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1"/>
  <workbookPr defaultThemeVersion="166925"/>
  <xr:revisionPtr revIDLastSave="360" documentId="11_31802F1733C7A0836B02CE998F7F4C1B590B8286" xr6:coauthVersionLast="47" xr6:coauthVersionMax="47" xr10:uidLastSave="{E5233731-DE86-40B5-9E34-B914C65149A6}"/>
  <bookViews>
    <workbookView xWindow="240" yWindow="105" windowWidth="14805" windowHeight="8010" firstSheet="2" activeTab="5" xr2:uid="{00000000-000D-0000-FFFF-FFFF00000000}"/>
  </bookViews>
  <sheets>
    <sheet name="Assumptions" sheetId="1" r:id="rId1"/>
    <sheet name="Data" sheetId="2" r:id="rId2"/>
    <sheet name="Returns" sheetId="3" r:id="rId3"/>
    <sheet name="Portfolio" sheetId="4" r:id="rId4"/>
    <sheet name="Risk Metrics" sheetId="5" r:id="rId5"/>
    <sheet name="Dashboard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9" i="6" l="1"/>
  <c r="C9" i="6"/>
  <c r="B9" i="6"/>
  <c r="D8" i="6"/>
  <c r="C8" i="6"/>
  <c r="B8" i="6"/>
  <c r="D7" i="6"/>
  <c r="C7" i="6"/>
  <c r="B7" i="6"/>
  <c r="D6" i="6"/>
  <c r="C6" i="6"/>
  <c r="B6" i="6"/>
  <c r="D5" i="6"/>
  <c r="C5" i="6"/>
  <c r="B5" i="6"/>
  <c r="C23" i="5"/>
  <c r="B23" i="5"/>
  <c r="C22" i="5"/>
  <c r="B22" i="5"/>
  <c r="C21" i="5"/>
  <c r="B21" i="5"/>
  <c r="C20" i="5"/>
  <c r="B20" i="5"/>
  <c r="C19" i="5"/>
  <c r="B19" i="5"/>
  <c r="D15" i="5"/>
  <c r="C15" i="5"/>
  <c r="B15" i="5"/>
  <c r="D14" i="5"/>
  <c r="C14" i="5"/>
  <c r="B14" i="5"/>
  <c r="D13" i="5"/>
  <c r="C13" i="5"/>
  <c r="B13" i="5"/>
  <c r="D9" i="5"/>
  <c r="C9" i="5"/>
  <c r="B9" i="5"/>
  <c r="H3" i="3"/>
  <c r="I3" i="3"/>
  <c r="J3" i="3"/>
  <c r="H4" i="3"/>
  <c r="I4" i="3"/>
  <c r="J4" i="3"/>
  <c r="H5" i="3"/>
  <c r="I5" i="3"/>
  <c r="J5" i="3"/>
  <c r="H6" i="3"/>
  <c r="I6" i="3"/>
  <c r="J6" i="3"/>
  <c r="H7" i="3"/>
  <c r="I7" i="3"/>
  <c r="J7" i="3"/>
  <c r="H8" i="3"/>
  <c r="I8" i="3"/>
  <c r="J8" i="3"/>
  <c r="H9" i="3"/>
  <c r="I9" i="3"/>
  <c r="J9" i="3"/>
  <c r="H10" i="3"/>
  <c r="I10" i="3"/>
  <c r="J10" i="3"/>
  <c r="H11" i="3"/>
  <c r="I11" i="3"/>
  <c r="J11" i="3"/>
  <c r="H12" i="3"/>
  <c r="I12" i="3"/>
  <c r="J12" i="3"/>
  <c r="H13" i="3"/>
  <c r="I13" i="3"/>
  <c r="J13" i="3"/>
  <c r="H14" i="3"/>
  <c r="I14" i="3"/>
  <c r="J14" i="3"/>
  <c r="H15" i="3"/>
  <c r="I15" i="3"/>
  <c r="J15" i="3"/>
  <c r="H16" i="3"/>
  <c r="I16" i="3"/>
  <c r="J16" i="3"/>
  <c r="H17" i="3"/>
  <c r="I17" i="3"/>
  <c r="J17" i="3"/>
  <c r="H18" i="3"/>
  <c r="I18" i="3"/>
  <c r="J18" i="3"/>
  <c r="H19" i="3"/>
  <c r="I19" i="3"/>
  <c r="J19" i="3"/>
  <c r="H20" i="3"/>
  <c r="I20" i="3"/>
  <c r="J20" i="3"/>
  <c r="H21" i="3"/>
  <c r="I21" i="3"/>
  <c r="J21" i="3"/>
  <c r="H22" i="3"/>
  <c r="I22" i="3"/>
  <c r="J22" i="3"/>
  <c r="H23" i="3"/>
  <c r="I23" i="3"/>
  <c r="J23" i="3"/>
  <c r="H24" i="3"/>
  <c r="I24" i="3"/>
  <c r="J24" i="3"/>
  <c r="H25" i="3"/>
  <c r="I25" i="3"/>
  <c r="J25" i="3"/>
  <c r="H26" i="3"/>
  <c r="I26" i="3"/>
  <c r="J26" i="3"/>
  <c r="H27" i="3"/>
  <c r="I27" i="3"/>
  <c r="J27" i="3"/>
  <c r="H28" i="3"/>
  <c r="I28" i="3"/>
  <c r="J28" i="3"/>
  <c r="H29" i="3"/>
  <c r="I29" i="3"/>
  <c r="J29" i="3"/>
  <c r="H30" i="3"/>
  <c r="I30" i="3"/>
  <c r="J30" i="3"/>
  <c r="H31" i="3"/>
  <c r="I31" i="3"/>
  <c r="J31" i="3"/>
  <c r="H32" i="3"/>
  <c r="I32" i="3"/>
  <c r="J32" i="3"/>
  <c r="H33" i="3"/>
  <c r="I33" i="3"/>
  <c r="J33" i="3"/>
  <c r="H34" i="3"/>
  <c r="I34" i="3"/>
  <c r="J34" i="3"/>
  <c r="H35" i="3"/>
  <c r="I35" i="3"/>
  <c r="J35" i="3"/>
  <c r="H36" i="3"/>
  <c r="I36" i="3"/>
  <c r="J36" i="3"/>
  <c r="H37" i="3"/>
  <c r="I37" i="3"/>
  <c r="J37" i="3"/>
  <c r="H38" i="3"/>
  <c r="I38" i="3"/>
  <c r="J38" i="3"/>
  <c r="H39" i="3"/>
  <c r="I39" i="3"/>
  <c r="J39" i="3"/>
  <c r="H40" i="3"/>
  <c r="I40" i="3"/>
  <c r="J40" i="3"/>
  <c r="H41" i="3"/>
  <c r="I41" i="3"/>
  <c r="J41" i="3"/>
  <c r="H42" i="3"/>
  <c r="I42" i="3"/>
  <c r="J42" i="3"/>
  <c r="H43" i="3"/>
  <c r="I43" i="3"/>
  <c r="J43" i="3"/>
  <c r="H44" i="3"/>
  <c r="I44" i="3"/>
  <c r="J44" i="3"/>
  <c r="H45" i="3"/>
  <c r="I45" i="3"/>
  <c r="J45" i="3"/>
  <c r="H46" i="3"/>
  <c r="I46" i="3"/>
  <c r="J46" i="3"/>
  <c r="H47" i="3"/>
  <c r="I47" i="3"/>
  <c r="J47" i="3"/>
  <c r="H48" i="3"/>
  <c r="I48" i="3"/>
  <c r="J48" i="3"/>
  <c r="H49" i="3"/>
  <c r="I49" i="3"/>
  <c r="J49" i="3"/>
  <c r="H50" i="3"/>
  <c r="I50" i="3"/>
  <c r="J50" i="3"/>
  <c r="H51" i="3"/>
  <c r="I51" i="3"/>
  <c r="J51" i="3"/>
  <c r="H52" i="3"/>
  <c r="I52" i="3"/>
  <c r="J52" i="3"/>
  <c r="H53" i="3"/>
  <c r="I53" i="3"/>
  <c r="J53" i="3"/>
  <c r="H54" i="3"/>
  <c r="I54" i="3"/>
  <c r="J54" i="3"/>
  <c r="H55" i="3"/>
  <c r="I55" i="3"/>
  <c r="J55" i="3"/>
  <c r="H56" i="3"/>
  <c r="I56" i="3"/>
  <c r="J56" i="3"/>
  <c r="H57" i="3"/>
  <c r="I57" i="3"/>
  <c r="J57" i="3"/>
  <c r="H58" i="3"/>
  <c r="I58" i="3"/>
  <c r="J58" i="3"/>
  <c r="H59" i="3"/>
  <c r="I59" i="3"/>
  <c r="J59" i="3"/>
  <c r="H60" i="3"/>
  <c r="I60" i="3"/>
  <c r="J60" i="3"/>
  <c r="H61" i="3"/>
  <c r="I61" i="3"/>
  <c r="J61" i="3"/>
  <c r="H62" i="3"/>
  <c r="I62" i="3"/>
  <c r="J62" i="3"/>
  <c r="H63" i="3"/>
  <c r="I63" i="3"/>
  <c r="J63" i="3"/>
  <c r="H64" i="3"/>
  <c r="I64" i="3"/>
  <c r="J64" i="3"/>
  <c r="H65" i="3"/>
  <c r="I65" i="3"/>
  <c r="J65" i="3"/>
  <c r="H66" i="3"/>
  <c r="I66" i="3"/>
  <c r="J66" i="3"/>
  <c r="H67" i="3"/>
  <c r="I67" i="3"/>
  <c r="J67" i="3"/>
  <c r="H68" i="3"/>
  <c r="I68" i="3"/>
  <c r="J68" i="3"/>
  <c r="H69" i="3"/>
  <c r="I69" i="3"/>
  <c r="J69" i="3"/>
  <c r="H70" i="3"/>
  <c r="I70" i="3"/>
  <c r="J70" i="3"/>
  <c r="H71" i="3"/>
  <c r="I71" i="3"/>
  <c r="J71" i="3"/>
  <c r="H72" i="3"/>
  <c r="I72" i="3"/>
  <c r="J72" i="3"/>
  <c r="H73" i="3"/>
  <c r="I73" i="3"/>
  <c r="J73" i="3"/>
  <c r="H74" i="3"/>
  <c r="I74" i="3"/>
  <c r="J74" i="3"/>
  <c r="H75" i="3"/>
  <c r="I75" i="3"/>
  <c r="J75" i="3"/>
  <c r="H76" i="3"/>
  <c r="I76" i="3"/>
  <c r="J76" i="3"/>
  <c r="H77" i="3"/>
  <c r="I77" i="3"/>
  <c r="J77" i="3"/>
  <c r="H78" i="3"/>
  <c r="I78" i="3"/>
  <c r="J78" i="3"/>
  <c r="H79" i="3"/>
  <c r="I79" i="3"/>
  <c r="J79" i="3"/>
  <c r="H80" i="3"/>
  <c r="I80" i="3"/>
  <c r="J80" i="3"/>
  <c r="H81" i="3"/>
  <c r="I81" i="3"/>
  <c r="J81" i="3"/>
  <c r="H82" i="3"/>
  <c r="I82" i="3"/>
  <c r="J82" i="3"/>
  <c r="H83" i="3"/>
  <c r="I83" i="3"/>
  <c r="J83" i="3"/>
  <c r="H84" i="3"/>
  <c r="I84" i="3"/>
  <c r="J84" i="3"/>
  <c r="H85" i="3"/>
  <c r="I85" i="3"/>
  <c r="J85" i="3"/>
  <c r="H86" i="3"/>
  <c r="I86" i="3"/>
  <c r="J86" i="3"/>
  <c r="H87" i="3"/>
  <c r="I87" i="3"/>
  <c r="J87" i="3"/>
  <c r="H88" i="3"/>
  <c r="I88" i="3"/>
  <c r="J88" i="3"/>
  <c r="H89" i="3"/>
  <c r="I89" i="3"/>
  <c r="J89" i="3"/>
  <c r="H90" i="3"/>
  <c r="I90" i="3"/>
  <c r="J90" i="3"/>
  <c r="H91" i="3"/>
  <c r="I91" i="3"/>
  <c r="J91" i="3"/>
  <c r="H92" i="3"/>
  <c r="I92" i="3"/>
  <c r="J92" i="3"/>
  <c r="H93" i="3"/>
  <c r="I93" i="3"/>
  <c r="J93" i="3"/>
  <c r="H94" i="3"/>
  <c r="I94" i="3"/>
  <c r="J94" i="3"/>
  <c r="H95" i="3"/>
  <c r="I95" i="3"/>
  <c r="J95" i="3"/>
  <c r="H96" i="3"/>
  <c r="I96" i="3"/>
  <c r="J96" i="3"/>
  <c r="H97" i="3"/>
  <c r="I97" i="3"/>
  <c r="J97" i="3"/>
  <c r="H98" i="3"/>
  <c r="I98" i="3"/>
  <c r="J98" i="3"/>
  <c r="H99" i="3"/>
  <c r="I99" i="3"/>
  <c r="J99" i="3"/>
  <c r="H100" i="3"/>
  <c r="I100" i="3"/>
  <c r="J100" i="3"/>
  <c r="H101" i="3"/>
  <c r="I101" i="3"/>
  <c r="J101" i="3"/>
  <c r="H102" i="3"/>
  <c r="I102" i="3"/>
  <c r="J102" i="3"/>
  <c r="H103" i="3"/>
  <c r="I103" i="3"/>
  <c r="J103" i="3"/>
  <c r="H104" i="3"/>
  <c r="I104" i="3"/>
  <c r="J104" i="3"/>
  <c r="H105" i="3"/>
  <c r="I105" i="3"/>
  <c r="J105" i="3"/>
  <c r="H106" i="3"/>
  <c r="I106" i="3"/>
  <c r="J106" i="3"/>
  <c r="H107" i="3"/>
  <c r="I107" i="3"/>
  <c r="J107" i="3"/>
  <c r="H108" i="3"/>
  <c r="I108" i="3"/>
  <c r="J108" i="3"/>
  <c r="H109" i="3"/>
  <c r="I109" i="3"/>
  <c r="J109" i="3"/>
  <c r="H110" i="3"/>
  <c r="I110" i="3"/>
  <c r="J110" i="3"/>
  <c r="H111" i="3"/>
  <c r="I111" i="3"/>
  <c r="J111" i="3"/>
  <c r="H112" i="3"/>
  <c r="I112" i="3"/>
  <c r="J112" i="3"/>
  <c r="H113" i="3"/>
  <c r="I113" i="3"/>
  <c r="J113" i="3"/>
  <c r="H114" i="3"/>
  <c r="I114" i="3"/>
  <c r="J114" i="3"/>
  <c r="H115" i="3"/>
  <c r="I115" i="3"/>
  <c r="J115" i="3"/>
  <c r="H116" i="3"/>
  <c r="I116" i="3"/>
  <c r="J116" i="3"/>
  <c r="H117" i="3"/>
  <c r="I117" i="3"/>
  <c r="J117" i="3"/>
  <c r="H118" i="3"/>
  <c r="I118" i="3"/>
  <c r="J118" i="3"/>
  <c r="H119" i="3"/>
  <c r="I119" i="3"/>
  <c r="J119" i="3"/>
  <c r="H120" i="3"/>
  <c r="I120" i="3"/>
  <c r="J120" i="3"/>
  <c r="H121" i="3"/>
  <c r="I121" i="3"/>
  <c r="J121" i="3"/>
  <c r="J2" i="3"/>
  <c r="I2" i="3"/>
  <c r="H2" i="3"/>
  <c r="K3" i="6"/>
  <c r="L3" i="6"/>
  <c r="M3" i="6"/>
  <c r="N3" i="6"/>
  <c r="K4" i="6"/>
  <c r="L4" i="6"/>
  <c r="M4" i="6"/>
  <c r="N4" i="6"/>
  <c r="K5" i="6"/>
  <c r="L5" i="6"/>
  <c r="M5" i="6"/>
  <c r="N5" i="6"/>
  <c r="K6" i="6"/>
  <c r="L6" i="6"/>
  <c r="M6" i="6"/>
  <c r="N6" i="6"/>
  <c r="K7" i="6"/>
  <c r="L7" i="6"/>
  <c r="M7" i="6"/>
  <c r="N7" i="6"/>
  <c r="K8" i="6"/>
  <c r="L8" i="6"/>
  <c r="M8" i="6"/>
  <c r="N8" i="6"/>
  <c r="K9" i="6"/>
  <c r="L9" i="6"/>
  <c r="M9" i="6"/>
  <c r="N9" i="6"/>
  <c r="K10" i="6"/>
  <c r="L10" i="6"/>
  <c r="M10" i="6"/>
  <c r="N10" i="6"/>
  <c r="K11" i="6"/>
  <c r="L11" i="6"/>
  <c r="M11" i="6"/>
  <c r="N11" i="6"/>
  <c r="K12" i="6"/>
  <c r="L12" i="6"/>
  <c r="M12" i="6"/>
  <c r="N12" i="6"/>
  <c r="K13" i="6"/>
  <c r="L13" i="6"/>
  <c r="M13" i="6"/>
  <c r="N13" i="6"/>
  <c r="K14" i="6"/>
  <c r="L14" i="6"/>
  <c r="M14" i="6"/>
  <c r="N14" i="6"/>
  <c r="K15" i="6"/>
  <c r="L15" i="6"/>
  <c r="M15" i="6"/>
  <c r="N15" i="6"/>
  <c r="K16" i="6"/>
  <c r="L16" i="6"/>
  <c r="M16" i="6"/>
  <c r="N16" i="6"/>
  <c r="K17" i="6"/>
  <c r="L17" i="6"/>
  <c r="M17" i="6"/>
  <c r="N17" i="6"/>
  <c r="K18" i="6"/>
  <c r="L18" i="6"/>
  <c r="M18" i="6"/>
  <c r="N18" i="6"/>
  <c r="K19" i="6"/>
  <c r="L19" i="6"/>
  <c r="M19" i="6"/>
  <c r="N19" i="6"/>
  <c r="K20" i="6"/>
  <c r="L20" i="6"/>
  <c r="M20" i="6"/>
  <c r="N20" i="6"/>
  <c r="K21" i="6"/>
  <c r="L21" i="6"/>
  <c r="M21" i="6"/>
  <c r="N21" i="6"/>
  <c r="K22" i="6"/>
  <c r="L22" i="6"/>
  <c r="M22" i="6"/>
  <c r="N22" i="6"/>
  <c r="K23" i="6"/>
  <c r="L23" i="6"/>
  <c r="M23" i="6"/>
  <c r="N23" i="6"/>
  <c r="K24" i="6"/>
  <c r="L24" i="6"/>
  <c r="M24" i="6"/>
  <c r="N24" i="6"/>
  <c r="K25" i="6"/>
  <c r="L25" i="6"/>
  <c r="M25" i="6"/>
  <c r="N25" i="6"/>
  <c r="K26" i="6"/>
  <c r="L26" i="6"/>
  <c r="M26" i="6"/>
  <c r="N26" i="6"/>
  <c r="K27" i="6"/>
  <c r="L27" i="6"/>
  <c r="M27" i="6"/>
  <c r="N27" i="6"/>
  <c r="K28" i="6"/>
  <c r="L28" i="6"/>
  <c r="M28" i="6"/>
  <c r="N28" i="6"/>
  <c r="K29" i="6"/>
  <c r="L29" i="6"/>
  <c r="M29" i="6"/>
  <c r="N29" i="6"/>
  <c r="K30" i="6"/>
  <c r="L30" i="6"/>
  <c r="M30" i="6"/>
  <c r="N30" i="6"/>
  <c r="K31" i="6"/>
  <c r="L31" i="6"/>
  <c r="M31" i="6"/>
  <c r="N31" i="6"/>
  <c r="K32" i="6"/>
  <c r="L32" i="6"/>
  <c r="M32" i="6"/>
  <c r="N32" i="6"/>
  <c r="K33" i="6"/>
  <c r="L33" i="6"/>
  <c r="M33" i="6"/>
  <c r="N33" i="6"/>
  <c r="K34" i="6"/>
  <c r="L34" i="6"/>
  <c r="M34" i="6"/>
  <c r="N34" i="6"/>
  <c r="K35" i="6"/>
  <c r="L35" i="6"/>
  <c r="M35" i="6"/>
  <c r="N35" i="6"/>
  <c r="K36" i="6"/>
  <c r="L36" i="6"/>
  <c r="M36" i="6"/>
  <c r="N36" i="6"/>
  <c r="K37" i="6"/>
  <c r="L37" i="6"/>
  <c r="M37" i="6"/>
  <c r="N37" i="6"/>
  <c r="K38" i="6"/>
  <c r="L38" i="6"/>
  <c r="M38" i="6"/>
  <c r="N38" i="6"/>
  <c r="K39" i="6"/>
  <c r="L39" i="6"/>
  <c r="M39" i="6"/>
  <c r="N39" i="6"/>
  <c r="K40" i="6"/>
  <c r="L40" i="6"/>
  <c r="M40" i="6"/>
  <c r="N40" i="6"/>
  <c r="K41" i="6"/>
  <c r="L41" i="6"/>
  <c r="M41" i="6"/>
  <c r="N41" i="6"/>
  <c r="K42" i="6"/>
  <c r="L42" i="6"/>
  <c r="M42" i="6"/>
  <c r="N42" i="6"/>
  <c r="K43" i="6"/>
  <c r="L43" i="6"/>
  <c r="M43" i="6"/>
  <c r="N43" i="6"/>
  <c r="K44" i="6"/>
  <c r="L44" i="6"/>
  <c r="M44" i="6"/>
  <c r="N44" i="6"/>
  <c r="K45" i="6"/>
  <c r="L45" i="6"/>
  <c r="M45" i="6"/>
  <c r="N45" i="6"/>
  <c r="K46" i="6"/>
  <c r="L46" i="6"/>
  <c r="M46" i="6"/>
  <c r="N46" i="6"/>
  <c r="K47" i="6"/>
  <c r="L47" i="6"/>
  <c r="M47" i="6"/>
  <c r="N47" i="6"/>
  <c r="K48" i="6"/>
  <c r="L48" i="6"/>
  <c r="M48" i="6"/>
  <c r="N48" i="6"/>
  <c r="K49" i="6"/>
  <c r="L49" i="6"/>
  <c r="M49" i="6"/>
  <c r="N49" i="6"/>
  <c r="K50" i="6"/>
  <c r="L50" i="6"/>
  <c r="M50" i="6"/>
  <c r="N50" i="6"/>
  <c r="K51" i="6"/>
  <c r="L51" i="6"/>
  <c r="M51" i="6"/>
  <c r="N51" i="6"/>
  <c r="K52" i="6"/>
  <c r="L52" i="6"/>
  <c r="M52" i="6"/>
  <c r="N52" i="6"/>
  <c r="K53" i="6"/>
  <c r="L53" i="6"/>
  <c r="M53" i="6"/>
  <c r="N53" i="6"/>
  <c r="K54" i="6"/>
  <c r="L54" i="6"/>
  <c r="M54" i="6"/>
  <c r="N54" i="6"/>
  <c r="K55" i="6"/>
  <c r="L55" i="6"/>
  <c r="M55" i="6"/>
  <c r="N55" i="6"/>
  <c r="K56" i="6"/>
  <c r="L56" i="6"/>
  <c r="M56" i="6"/>
  <c r="N56" i="6"/>
  <c r="K57" i="6"/>
  <c r="L57" i="6"/>
  <c r="M57" i="6"/>
  <c r="N57" i="6"/>
  <c r="K58" i="6"/>
  <c r="L58" i="6"/>
  <c r="M58" i="6"/>
  <c r="N58" i="6"/>
  <c r="K59" i="6"/>
  <c r="L59" i="6"/>
  <c r="M59" i="6"/>
  <c r="N59" i="6"/>
  <c r="K60" i="6"/>
  <c r="L60" i="6"/>
  <c r="M60" i="6"/>
  <c r="N60" i="6"/>
  <c r="K61" i="6"/>
  <c r="L61" i="6"/>
  <c r="M61" i="6"/>
  <c r="N61" i="6"/>
  <c r="K62" i="6"/>
  <c r="L62" i="6"/>
  <c r="M62" i="6"/>
  <c r="N62" i="6"/>
  <c r="K63" i="6"/>
  <c r="L63" i="6"/>
  <c r="M63" i="6"/>
  <c r="N63" i="6"/>
  <c r="K64" i="6"/>
  <c r="L64" i="6"/>
  <c r="M64" i="6"/>
  <c r="N64" i="6"/>
  <c r="K65" i="6"/>
  <c r="L65" i="6"/>
  <c r="M65" i="6"/>
  <c r="N65" i="6"/>
  <c r="K66" i="6"/>
  <c r="L66" i="6"/>
  <c r="M66" i="6"/>
  <c r="N66" i="6"/>
  <c r="K67" i="6"/>
  <c r="L67" i="6"/>
  <c r="M67" i="6"/>
  <c r="N67" i="6"/>
  <c r="K68" i="6"/>
  <c r="L68" i="6"/>
  <c r="M68" i="6"/>
  <c r="N68" i="6"/>
  <c r="K69" i="6"/>
  <c r="L69" i="6"/>
  <c r="M69" i="6"/>
  <c r="N69" i="6"/>
  <c r="K70" i="6"/>
  <c r="L70" i="6"/>
  <c r="M70" i="6"/>
  <c r="N70" i="6"/>
  <c r="K71" i="6"/>
  <c r="L71" i="6"/>
  <c r="M71" i="6"/>
  <c r="N71" i="6"/>
  <c r="K72" i="6"/>
  <c r="L72" i="6"/>
  <c r="M72" i="6"/>
  <c r="N72" i="6"/>
  <c r="K73" i="6"/>
  <c r="L73" i="6"/>
  <c r="M73" i="6"/>
  <c r="N73" i="6"/>
  <c r="K74" i="6"/>
  <c r="L74" i="6"/>
  <c r="M74" i="6"/>
  <c r="N74" i="6"/>
  <c r="K75" i="6"/>
  <c r="L75" i="6"/>
  <c r="M75" i="6"/>
  <c r="N75" i="6"/>
  <c r="K76" i="6"/>
  <c r="L76" i="6"/>
  <c r="M76" i="6"/>
  <c r="N76" i="6"/>
  <c r="K77" i="6"/>
  <c r="L77" i="6"/>
  <c r="M77" i="6"/>
  <c r="N77" i="6"/>
  <c r="K78" i="6"/>
  <c r="L78" i="6"/>
  <c r="M78" i="6"/>
  <c r="N78" i="6"/>
  <c r="K79" i="6"/>
  <c r="L79" i="6"/>
  <c r="M79" i="6"/>
  <c r="N79" i="6"/>
  <c r="K80" i="6"/>
  <c r="L80" i="6"/>
  <c r="M80" i="6"/>
  <c r="N80" i="6"/>
  <c r="K81" i="6"/>
  <c r="L81" i="6"/>
  <c r="M81" i="6"/>
  <c r="N81" i="6"/>
  <c r="K82" i="6"/>
  <c r="L82" i="6"/>
  <c r="M82" i="6"/>
  <c r="N82" i="6"/>
  <c r="K83" i="6"/>
  <c r="L83" i="6"/>
  <c r="M83" i="6"/>
  <c r="N83" i="6"/>
  <c r="K84" i="6"/>
  <c r="L84" i="6"/>
  <c r="M84" i="6"/>
  <c r="N84" i="6"/>
  <c r="K85" i="6"/>
  <c r="L85" i="6"/>
  <c r="M85" i="6"/>
  <c r="N85" i="6"/>
  <c r="K86" i="6"/>
  <c r="L86" i="6"/>
  <c r="M86" i="6"/>
  <c r="N86" i="6"/>
  <c r="K87" i="6"/>
  <c r="L87" i="6"/>
  <c r="M87" i="6"/>
  <c r="N87" i="6"/>
  <c r="K88" i="6"/>
  <c r="L88" i="6"/>
  <c r="M88" i="6"/>
  <c r="N88" i="6"/>
  <c r="K89" i="6"/>
  <c r="L89" i="6"/>
  <c r="M89" i="6"/>
  <c r="N89" i="6"/>
  <c r="K90" i="6"/>
  <c r="L90" i="6"/>
  <c r="M90" i="6"/>
  <c r="N90" i="6"/>
  <c r="K91" i="6"/>
  <c r="L91" i="6"/>
  <c r="M91" i="6"/>
  <c r="N91" i="6"/>
  <c r="K92" i="6"/>
  <c r="L92" i="6"/>
  <c r="M92" i="6"/>
  <c r="N92" i="6"/>
  <c r="K93" i="6"/>
  <c r="L93" i="6"/>
  <c r="M93" i="6"/>
  <c r="N93" i="6"/>
  <c r="K94" i="6"/>
  <c r="L94" i="6"/>
  <c r="M94" i="6"/>
  <c r="N94" i="6"/>
  <c r="K95" i="6"/>
  <c r="L95" i="6"/>
  <c r="M95" i="6"/>
  <c r="N95" i="6"/>
  <c r="K96" i="6"/>
  <c r="L96" i="6"/>
  <c r="M96" i="6"/>
  <c r="N96" i="6"/>
  <c r="K97" i="6"/>
  <c r="L97" i="6"/>
  <c r="M97" i="6"/>
  <c r="N97" i="6"/>
  <c r="K98" i="6"/>
  <c r="L98" i="6"/>
  <c r="M98" i="6"/>
  <c r="N98" i="6"/>
  <c r="K99" i="6"/>
  <c r="L99" i="6"/>
  <c r="M99" i="6"/>
  <c r="N99" i="6"/>
  <c r="K100" i="6"/>
  <c r="L100" i="6"/>
  <c r="M100" i="6"/>
  <c r="N100" i="6"/>
  <c r="K101" i="6"/>
  <c r="L101" i="6"/>
  <c r="M101" i="6"/>
  <c r="N101" i="6"/>
  <c r="K102" i="6"/>
  <c r="L102" i="6"/>
  <c r="M102" i="6"/>
  <c r="N102" i="6"/>
  <c r="K103" i="6"/>
  <c r="L103" i="6"/>
  <c r="M103" i="6"/>
  <c r="N103" i="6"/>
  <c r="K104" i="6"/>
  <c r="L104" i="6"/>
  <c r="M104" i="6"/>
  <c r="N104" i="6"/>
  <c r="K105" i="6"/>
  <c r="L105" i="6"/>
  <c r="M105" i="6"/>
  <c r="N105" i="6"/>
  <c r="K106" i="6"/>
  <c r="L106" i="6"/>
  <c r="M106" i="6"/>
  <c r="N106" i="6"/>
  <c r="K107" i="6"/>
  <c r="L107" i="6"/>
  <c r="M107" i="6"/>
  <c r="N107" i="6"/>
  <c r="K108" i="6"/>
  <c r="L108" i="6"/>
  <c r="M108" i="6"/>
  <c r="N108" i="6"/>
  <c r="K109" i="6"/>
  <c r="L109" i="6"/>
  <c r="M109" i="6"/>
  <c r="N109" i="6"/>
  <c r="K110" i="6"/>
  <c r="L110" i="6"/>
  <c r="M110" i="6"/>
  <c r="N110" i="6"/>
  <c r="K111" i="6"/>
  <c r="L111" i="6"/>
  <c r="M111" i="6"/>
  <c r="N111" i="6"/>
  <c r="K112" i="6"/>
  <c r="L112" i="6"/>
  <c r="M112" i="6"/>
  <c r="N112" i="6"/>
  <c r="K113" i="6"/>
  <c r="L113" i="6"/>
  <c r="M113" i="6"/>
  <c r="N113" i="6"/>
  <c r="K114" i="6"/>
  <c r="L114" i="6"/>
  <c r="M114" i="6"/>
  <c r="N114" i="6"/>
  <c r="K115" i="6"/>
  <c r="L115" i="6"/>
  <c r="M115" i="6"/>
  <c r="N115" i="6"/>
  <c r="K116" i="6"/>
  <c r="L116" i="6"/>
  <c r="M116" i="6"/>
  <c r="N116" i="6"/>
  <c r="K117" i="6"/>
  <c r="L117" i="6"/>
  <c r="M117" i="6"/>
  <c r="N117" i="6"/>
  <c r="K118" i="6"/>
  <c r="L118" i="6"/>
  <c r="M118" i="6"/>
  <c r="N118" i="6"/>
  <c r="K119" i="6"/>
  <c r="L119" i="6"/>
  <c r="M119" i="6"/>
  <c r="N119" i="6"/>
  <c r="K120" i="6"/>
  <c r="L120" i="6"/>
  <c r="M120" i="6"/>
  <c r="N120" i="6"/>
  <c r="K121" i="6"/>
  <c r="L121" i="6"/>
  <c r="M121" i="6"/>
  <c r="N121" i="6"/>
  <c r="K122" i="6"/>
  <c r="L122" i="6"/>
  <c r="M122" i="6"/>
  <c r="N122" i="6"/>
  <c r="N2" i="6"/>
  <c r="M2" i="6"/>
  <c r="L2" i="6"/>
  <c r="K2" i="6"/>
  <c r="D8" i="5"/>
  <c r="C8" i="5"/>
  <c r="B8" i="5"/>
  <c r="D7" i="5"/>
  <c r="C7" i="5"/>
  <c r="B7" i="5"/>
  <c r="D6" i="5"/>
  <c r="C6" i="5"/>
  <c r="B6" i="5"/>
  <c r="D3" i="5"/>
  <c r="C3" i="5"/>
  <c r="B3" i="5"/>
  <c r="D2" i="5"/>
  <c r="C2" i="5"/>
  <c r="B2" i="5"/>
  <c r="K3" i="4"/>
  <c r="L3" i="4"/>
  <c r="M3" i="4"/>
  <c r="K4" i="4"/>
  <c r="L4" i="4"/>
  <c r="M4" i="4"/>
  <c r="K5" i="4"/>
  <c r="L5" i="4"/>
  <c r="M5" i="4"/>
  <c r="K6" i="4"/>
  <c r="L6" i="4"/>
  <c r="M6" i="4"/>
  <c r="K7" i="4"/>
  <c r="L7" i="4"/>
  <c r="M7" i="4"/>
  <c r="K8" i="4"/>
  <c r="L8" i="4"/>
  <c r="M8" i="4"/>
  <c r="K9" i="4"/>
  <c r="L9" i="4"/>
  <c r="M9" i="4"/>
  <c r="K10" i="4"/>
  <c r="L10" i="4"/>
  <c r="M10" i="4"/>
  <c r="K11" i="4"/>
  <c r="L11" i="4"/>
  <c r="M11" i="4"/>
  <c r="K12" i="4"/>
  <c r="L12" i="4"/>
  <c r="M12" i="4"/>
  <c r="K13" i="4"/>
  <c r="L13" i="4"/>
  <c r="M13" i="4"/>
  <c r="K14" i="4"/>
  <c r="L14" i="4"/>
  <c r="M14" i="4"/>
  <c r="K15" i="4"/>
  <c r="L15" i="4"/>
  <c r="M15" i="4"/>
  <c r="K16" i="4"/>
  <c r="L16" i="4"/>
  <c r="M16" i="4"/>
  <c r="K17" i="4"/>
  <c r="L17" i="4"/>
  <c r="M17" i="4"/>
  <c r="K18" i="4"/>
  <c r="L18" i="4"/>
  <c r="M18" i="4"/>
  <c r="K19" i="4"/>
  <c r="L19" i="4"/>
  <c r="M19" i="4"/>
  <c r="K20" i="4"/>
  <c r="L20" i="4"/>
  <c r="M20" i="4"/>
  <c r="K21" i="4"/>
  <c r="L21" i="4"/>
  <c r="M21" i="4"/>
  <c r="K22" i="4"/>
  <c r="L22" i="4"/>
  <c r="M22" i="4"/>
  <c r="K23" i="4"/>
  <c r="L23" i="4"/>
  <c r="M23" i="4"/>
  <c r="K24" i="4"/>
  <c r="L24" i="4"/>
  <c r="M24" i="4"/>
  <c r="K25" i="4"/>
  <c r="L25" i="4"/>
  <c r="M25" i="4"/>
  <c r="K26" i="4"/>
  <c r="L26" i="4"/>
  <c r="M26" i="4"/>
  <c r="K27" i="4"/>
  <c r="L27" i="4"/>
  <c r="M27" i="4"/>
  <c r="K28" i="4"/>
  <c r="L28" i="4"/>
  <c r="M28" i="4"/>
  <c r="K29" i="4"/>
  <c r="L29" i="4"/>
  <c r="M29" i="4"/>
  <c r="K30" i="4"/>
  <c r="L30" i="4"/>
  <c r="M30" i="4"/>
  <c r="K31" i="4"/>
  <c r="L31" i="4"/>
  <c r="M31" i="4"/>
  <c r="K32" i="4"/>
  <c r="L32" i="4"/>
  <c r="M32" i="4"/>
  <c r="K33" i="4"/>
  <c r="L33" i="4"/>
  <c r="M33" i="4"/>
  <c r="K34" i="4"/>
  <c r="L34" i="4"/>
  <c r="M34" i="4"/>
  <c r="K35" i="4"/>
  <c r="L35" i="4"/>
  <c r="M35" i="4"/>
  <c r="K36" i="4"/>
  <c r="L36" i="4"/>
  <c r="M36" i="4"/>
  <c r="K37" i="4"/>
  <c r="L37" i="4"/>
  <c r="M37" i="4"/>
  <c r="K38" i="4"/>
  <c r="L38" i="4"/>
  <c r="M38" i="4"/>
  <c r="K39" i="4"/>
  <c r="L39" i="4"/>
  <c r="M39" i="4"/>
  <c r="K40" i="4"/>
  <c r="L40" i="4"/>
  <c r="M40" i="4"/>
  <c r="K41" i="4"/>
  <c r="L41" i="4"/>
  <c r="M41" i="4"/>
  <c r="K42" i="4"/>
  <c r="L42" i="4"/>
  <c r="M42" i="4"/>
  <c r="K43" i="4"/>
  <c r="L43" i="4"/>
  <c r="M43" i="4"/>
  <c r="K44" i="4"/>
  <c r="L44" i="4"/>
  <c r="M44" i="4"/>
  <c r="K45" i="4"/>
  <c r="L45" i="4"/>
  <c r="M45" i="4"/>
  <c r="K46" i="4"/>
  <c r="L46" i="4"/>
  <c r="M46" i="4"/>
  <c r="K47" i="4"/>
  <c r="L47" i="4"/>
  <c r="M47" i="4"/>
  <c r="K48" i="4"/>
  <c r="L48" i="4"/>
  <c r="M48" i="4"/>
  <c r="K49" i="4"/>
  <c r="L49" i="4"/>
  <c r="M49" i="4"/>
  <c r="K50" i="4"/>
  <c r="L50" i="4"/>
  <c r="M50" i="4"/>
  <c r="K51" i="4"/>
  <c r="L51" i="4"/>
  <c r="M51" i="4"/>
  <c r="K52" i="4"/>
  <c r="L52" i="4"/>
  <c r="M52" i="4"/>
  <c r="K53" i="4"/>
  <c r="L53" i="4"/>
  <c r="M53" i="4"/>
  <c r="K54" i="4"/>
  <c r="L54" i="4"/>
  <c r="M54" i="4"/>
  <c r="K55" i="4"/>
  <c r="L55" i="4"/>
  <c r="M55" i="4"/>
  <c r="K56" i="4"/>
  <c r="L56" i="4"/>
  <c r="M56" i="4"/>
  <c r="K57" i="4"/>
  <c r="L57" i="4"/>
  <c r="M57" i="4"/>
  <c r="K58" i="4"/>
  <c r="L58" i="4"/>
  <c r="M58" i="4"/>
  <c r="K59" i="4"/>
  <c r="L59" i="4"/>
  <c r="M59" i="4"/>
  <c r="K60" i="4"/>
  <c r="L60" i="4"/>
  <c r="M60" i="4"/>
  <c r="K61" i="4"/>
  <c r="L61" i="4"/>
  <c r="M61" i="4"/>
  <c r="K62" i="4"/>
  <c r="L62" i="4"/>
  <c r="M62" i="4"/>
  <c r="K63" i="4"/>
  <c r="L63" i="4"/>
  <c r="M63" i="4"/>
  <c r="K64" i="4"/>
  <c r="L64" i="4"/>
  <c r="M64" i="4"/>
  <c r="K65" i="4"/>
  <c r="L65" i="4"/>
  <c r="M65" i="4"/>
  <c r="K66" i="4"/>
  <c r="L66" i="4"/>
  <c r="M66" i="4"/>
  <c r="K67" i="4"/>
  <c r="L67" i="4"/>
  <c r="M67" i="4"/>
  <c r="K68" i="4"/>
  <c r="L68" i="4"/>
  <c r="M68" i="4"/>
  <c r="K69" i="4"/>
  <c r="L69" i="4"/>
  <c r="M69" i="4"/>
  <c r="K70" i="4"/>
  <c r="L70" i="4"/>
  <c r="M70" i="4"/>
  <c r="K71" i="4"/>
  <c r="L71" i="4"/>
  <c r="M71" i="4"/>
  <c r="K72" i="4"/>
  <c r="L72" i="4"/>
  <c r="M72" i="4"/>
  <c r="K73" i="4"/>
  <c r="L73" i="4"/>
  <c r="M73" i="4"/>
  <c r="K74" i="4"/>
  <c r="L74" i="4"/>
  <c r="M74" i="4"/>
  <c r="K75" i="4"/>
  <c r="L75" i="4"/>
  <c r="M75" i="4"/>
  <c r="K76" i="4"/>
  <c r="L76" i="4"/>
  <c r="M76" i="4"/>
  <c r="K77" i="4"/>
  <c r="L77" i="4"/>
  <c r="M77" i="4"/>
  <c r="K78" i="4"/>
  <c r="L78" i="4"/>
  <c r="M78" i="4"/>
  <c r="K79" i="4"/>
  <c r="L79" i="4"/>
  <c r="M79" i="4"/>
  <c r="K80" i="4"/>
  <c r="L80" i="4"/>
  <c r="M80" i="4"/>
  <c r="K81" i="4"/>
  <c r="L81" i="4"/>
  <c r="M81" i="4"/>
  <c r="K82" i="4"/>
  <c r="L82" i="4"/>
  <c r="M82" i="4"/>
  <c r="K83" i="4"/>
  <c r="L83" i="4"/>
  <c r="M83" i="4"/>
  <c r="K84" i="4"/>
  <c r="L84" i="4"/>
  <c r="M84" i="4"/>
  <c r="K85" i="4"/>
  <c r="L85" i="4"/>
  <c r="M85" i="4"/>
  <c r="K86" i="4"/>
  <c r="L86" i="4"/>
  <c r="M86" i="4"/>
  <c r="K87" i="4"/>
  <c r="L87" i="4"/>
  <c r="M87" i="4"/>
  <c r="K88" i="4"/>
  <c r="L88" i="4"/>
  <c r="M88" i="4"/>
  <c r="K89" i="4"/>
  <c r="L89" i="4"/>
  <c r="M89" i="4"/>
  <c r="K90" i="4"/>
  <c r="L90" i="4"/>
  <c r="M90" i="4"/>
  <c r="K91" i="4"/>
  <c r="L91" i="4"/>
  <c r="M91" i="4"/>
  <c r="K92" i="4"/>
  <c r="L92" i="4"/>
  <c r="M92" i="4"/>
  <c r="K93" i="4"/>
  <c r="L93" i="4"/>
  <c r="M93" i="4"/>
  <c r="K94" i="4"/>
  <c r="L94" i="4"/>
  <c r="M94" i="4"/>
  <c r="K95" i="4"/>
  <c r="L95" i="4"/>
  <c r="M95" i="4"/>
  <c r="K96" i="4"/>
  <c r="L96" i="4"/>
  <c r="M96" i="4"/>
  <c r="K97" i="4"/>
  <c r="L97" i="4"/>
  <c r="M97" i="4"/>
  <c r="K98" i="4"/>
  <c r="L98" i="4"/>
  <c r="M98" i="4"/>
  <c r="K99" i="4"/>
  <c r="L99" i="4"/>
  <c r="M99" i="4"/>
  <c r="K100" i="4"/>
  <c r="L100" i="4"/>
  <c r="M100" i="4"/>
  <c r="K101" i="4"/>
  <c r="L101" i="4"/>
  <c r="M101" i="4"/>
  <c r="K102" i="4"/>
  <c r="L102" i="4"/>
  <c r="M102" i="4"/>
  <c r="K103" i="4"/>
  <c r="L103" i="4"/>
  <c r="M103" i="4"/>
  <c r="K104" i="4"/>
  <c r="L104" i="4"/>
  <c r="M104" i="4"/>
  <c r="K105" i="4"/>
  <c r="L105" i="4"/>
  <c r="M105" i="4"/>
  <c r="K106" i="4"/>
  <c r="L106" i="4"/>
  <c r="M106" i="4"/>
  <c r="K107" i="4"/>
  <c r="L107" i="4"/>
  <c r="M107" i="4"/>
  <c r="K108" i="4"/>
  <c r="L108" i="4"/>
  <c r="M108" i="4"/>
  <c r="K109" i="4"/>
  <c r="L109" i="4"/>
  <c r="M109" i="4"/>
  <c r="K110" i="4"/>
  <c r="L110" i="4"/>
  <c r="M110" i="4"/>
  <c r="K111" i="4"/>
  <c r="L111" i="4"/>
  <c r="M111" i="4"/>
  <c r="K112" i="4"/>
  <c r="L112" i="4"/>
  <c r="M112" i="4"/>
  <c r="K113" i="4"/>
  <c r="L113" i="4"/>
  <c r="M113" i="4"/>
  <c r="K114" i="4"/>
  <c r="L114" i="4"/>
  <c r="M114" i="4"/>
  <c r="K115" i="4"/>
  <c r="L115" i="4"/>
  <c r="M115" i="4"/>
  <c r="K116" i="4"/>
  <c r="L116" i="4"/>
  <c r="M116" i="4"/>
  <c r="K117" i="4"/>
  <c r="L117" i="4"/>
  <c r="M117" i="4"/>
  <c r="K118" i="4"/>
  <c r="L118" i="4"/>
  <c r="M118" i="4"/>
  <c r="K119" i="4"/>
  <c r="L119" i="4"/>
  <c r="M119" i="4"/>
  <c r="K120" i="4"/>
  <c r="L120" i="4"/>
  <c r="M120" i="4"/>
  <c r="K121" i="4"/>
  <c r="L121" i="4"/>
  <c r="M121" i="4"/>
  <c r="K122" i="4"/>
  <c r="L122" i="4"/>
  <c r="M122" i="4"/>
  <c r="O3" i="4"/>
  <c r="P3" i="4"/>
  <c r="Q3" i="4"/>
  <c r="O4" i="4"/>
  <c r="P4" i="4"/>
  <c r="Q4" i="4"/>
  <c r="O5" i="4"/>
  <c r="P5" i="4"/>
  <c r="Q5" i="4"/>
  <c r="O6" i="4"/>
  <c r="P6" i="4"/>
  <c r="Q6" i="4"/>
  <c r="O7" i="4"/>
  <c r="P7" i="4"/>
  <c r="Q7" i="4"/>
  <c r="O8" i="4"/>
  <c r="P8" i="4"/>
  <c r="Q8" i="4"/>
  <c r="O9" i="4"/>
  <c r="P9" i="4"/>
  <c r="Q9" i="4"/>
  <c r="O10" i="4"/>
  <c r="P10" i="4"/>
  <c r="Q10" i="4"/>
  <c r="O11" i="4"/>
  <c r="P11" i="4"/>
  <c r="Q11" i="4"/>
  <c r="O12" i="4"/>
  <c r="P12" i="4"/>
  <c r="Q12" i="4"/>
  <c r="O13" i="4"/>
  <c r="P13" i="4"/>
  <c r="Q13" i="4"/>
  <c r="O14" i="4"/>
  <c r="P14" i="4"/>
  <c r="Q14" i="4"/>
  <c r="O15" i="4"/>
  <c r="P15" i="4"/>
  <c r="Q15" i="4"/>
  <c r="O16" i="4"/>
  <c r="P16" i="4"/>
  <c r="Q16" i="4"/>
  <c r="O17" i="4"/>
  <c r="P17" i="4"/>
  <c r="Q17" i="4"/>
  <c r="O18" i="4"/>
  <c r="P18" i="4"/>
  <c r="Q18" i="4"/>
  <c r="O19" i="4"/>
  <c r="P19" i="4"/>
  <c r="Q19" i="4"/>
  <c r="O20" i="4"/>
  <c r="P20" i="4"/>
  <c r="Q20" i="4"/>
  <c r="O21" i="4"/>
  <c r="P21" i="4"/>
  <c r="Q21" i="4"/>
  <c r="O22" i="4"/>
  <c r="P22" i="4"/>
  <c r="Q22" i="4"/>
  <c r="O23" i="4"/>
  <c r="P23" i="4"/>
  <c r="Q23" i="4"/>
  <c r="O24" i="4"/>
  <c r="P24" i="4"/>
  <c r="Q24" i="4"/>
  <c r="O25" i="4"/>
  <c r="P25" i="4"/>
  <c r="Q25" i="4"/>
  <c r="O26" i="4"/>
  <c r="P26" i="4"/>
  <c r="Q26" i="4"/>
  <c r="O27" i="4"/>
  <c r="P27" i="4"/>
  <c r="Q27" i="4"/>
  <c r="O28" i="4"/>
  <c r="P28" i="4"/>
  <c r="Q28" i="4"/>
  <c r="O29" i="4"/>
  <c r="P29" i="4"/>
  <c r="Q29" i="4"/>
  <c r="O30" i="4"/>
  <c r="P30" i="4"/>
  <c r="Q30" i="4"/>
  <c r="O31" i="4"/>
  <c r="P31" i="4"/>
  <c r="Q31" i="4"/>
  <c r="O32" i="4"/>
  <c r="P32" i="4"/>
  <c r="Q32" i="4"/>
  <c r="O33" i="4"/>
  <c r="P33" i="4"/>
  <c r="Q33" i="4"/>
  <c r="O34" i="4"/>
  <c r="P34" i="4"/>
  <c r="Q34" i="4"/>
  <c r="O35" i="4"/>
  <c r="P35" i="4"/>
  <c r="Q35" i="4"/>
  <c r="O36" i="4"/>
  <c r="P36" i="4"/>
  <c r="Q36" i="4"/>
  <c r="O37" i="4"/>
  <c r="P37" i="4"/>
  <c r="Q37" i="4"/>
  <c r="O38" i="4"/>
  <c r="P38" i="4"/>
  <c r="Q38" i="4"/>
  <c r="O39" i="4"/>
  <c r="P39" i="4"/>
  <c r="Q39" i="4"/>
  <c r="O40" i="4"/>
  <c r="P40" i="4"/>
  <c r="Q40" i="4"/>
  <c r="O41" i="4"/>
  <c r="P41" i="4"/>
  <c r="Q41" i="4"/>
  <c r="O42" i="4"/>
  <c r="P42" i="4"/>
  <c r="Q42" i="4"/>
  <c r="O43" i="4"/>
  <c r="P43" i="4"/>
  <c r="Q43" i="4"/>
  <c r="O44" i="4"/>
  <c r="P44" i="4"/>
  <c r="Q44" i="4"/>
  <c r="O45" i="4"/>
  <c r="P45" i="4"/>
  <c r="Q45" i="4"/>
  <c r="O46" i="4"/>
  <c r="P46" i="4"/>
  <c r="Q46" i="4"/>
  <c r="O47" i="4"/>
  <c r="P47" i="4"/>
  <c r="Q47" i="4"/>
  <c r="O48" i="4"/>
  <c r="P48" i="4"/>
  <c r="Q48" i="4"/>
  <c r="O49" i="4"/>
  <c r="P49" i="4"/>
  <c r="Q49" i="4"/>
  <c r="O50" i="4"/>
  <c r="P50" i="4"/>
  <c r="Q50" i="4"/>
  <c r="O51" i="4"/>
  <c r="P51" i="4"/>
  <c r="Q51" i="4"/>
  <c r="O52" i="4"/>
  <c r="P52" i="4"/>
  <c r="Q52" i="4"/>
  <c r="O53" i="4"/>
  <c r="P53" i="4"/>
  <c r="Q53" i="4"/>
  <c r="O54" i="4"/>
  <c r="P54" i="4"/>
  <c r="Q54" i="4"/>
  <c r="O55" i="4"/>
  <c r="P55" i="4"/>
  <c r="Q55" i="4"/>
  <c r="O56" i="4"/>
  <c r="P56" i="4"/>
  <c r="Q56" i="4"/>
  <c r="O57" i="4"/>
  <c r="P57" i="4"/>
  <c r="Q57" i="4"/>
  <c r="O58" i="4"/>
  <c r="P58" i="4"/>
  <c r="Q58" i="4"/>
  <c r="O59" i="4"/>
  <c r="P59" i="4"/>
  <c r="Q59" i="4"/>
  <c r="O60" i="4"/>
  <c r="P60" i="4"/>
  <c r="Q60" i="4"/>
  <c r="O61" i="4"/>
  <c r="P61" i="4"/>
  <c r="Q61" i="4"/>
  <c r="O62" i="4"/>
  <c r="P62" i="4"/>
  <c r="Q62" i="4"/>
  <c r="O63" i="4"/>
  <c r="P63" i="4"/>
  <c r="Q63" i="4"/>
  <c r="O64" i="4"/>
  <c r="P64" i="4"/>
  <c r="Q64" i="4"/>
  <c r="O65" i="4"/>
  <c r="P65" i="4"/>
  <c r="Q65" i="4"/>
  <c r="O66" i="4"/>
  <c r="P66" i="4"/>
  <c r="Q66" i="4"/>
  <c r="O67" i="4"/>
  <c r="P67" i="4"/>
  <c r="Q67" i="4"/>
  <c r="O68" i="4"/>
  <c r="P68" i="4"/>
  <c r="Q68" i="4"/>
  <c r="O69" i="4"/>
  <c r="P69" i="4"/>
  <c r="Q69" i="4"/>
  <c r="O70" i="4"/>
  <c r="P70" i="4"/>
  <c r="Q70" i="4"/>
  <c r="O71" i="4"/>
  <c r="P71" i="4"/>
  <c r="Q71" i="4"/>
  <c r="O72" i="4"/>
  <c r="P72" i="4"/>
  <c r="Q72" i="4"/>
  <c r="O73" i="4"/>
  <c r="P73" i="4"/>
  <c r="Q73" i="4"/>
  <c r="O74" i="4"/>
  <c r="P74" i="4"/>
  <c r="Q74" i="4"/>
  <c r="O75" i="4"/>
  <c r="P75" i="4"/>
  <c r="Q75" i="4"/>
  <c r="O76" i="4"/>
  <c r="P76" i="4"/>
  <c r="Q76" i="4"/>
  <c r="O77" i="4"/>
  <c r="P77" i="4"/>
  <c r="Q77" i="4"/>
  <c r="O78" i="4"/>
  <c r="P78" i="4"/>
  <c r="Q78" i="4"/>
  <c r="O79" i="4"/>
  <c r="P79" i="4"/>
  <c r="Q79" i="4"/>
  <c r="O80" i="4"/>
  <c r="P80" i="4"/>
  <c r="Q80" i="4"/>
  <c r="O81" i="4"/>
  <c r="P81" i="4"/>
  <c r="Q81" i="4"/>
  <c r="O82" i="4"/>
  <c r="P82" i="4"/>
  <c r="Q82" i="4"/>
  <c r="O83" i="4"/>
  <c r="P83" i="4"/>
  <c r="Q83" i="4"/>
  <c r="O84" i="4"/>
  <c r="P84" i="4"/>
  <c r="Q84" i="4"/>
  <c r="O85" i="4"/>
  <c r="P85" i="4"/>
  <c r="Q85" i="4"/>
  <c r="O86" i="4"/>
  <c r="P86" i="4"/>
  <c r="Q86" i="4"/>
  <c r="O87" i="4"/>
  <c r="P87" i="4"/>
  <c r="Q87" i="4"/>
  <c r="O88" i="4"/>
  <c r="P88" i="4"/>
  <c r="Q88" i="4"/>
  <c r="O89" i="4"/>
  <c r="P89" i="4"/>
  <c r="Q89" i="4"/>
  <c r="O90" i="4"/>
  <c r="P90" i="4"/>
  <c r="Q90" i="4"/>
  <c r="O91" i="4"/>
  <c r="P91" i="4"/>
  <c r="Q91" i="4"/>
  <c r="O92" i="4"/>
  <c r="P92" i="4"/>
  <c r="Q92" i="4"/>
  <c r="O93" i="4"/>
  <c r="P93" i="4"/>
  <c r="Q93" i="4"/>
  <c r="O94" i="4"/>
  <c r="P94" i="4"/>
  <c r="Q94" i="4"/>
  <c r="O95" i="4"/>
  <c r="P95" i="4"/>
  <c r="Q95" i="4"/>
  <c r="O96" i="4"/>
  <c r="P96" i="4"/>
  <c r="Q96" i="4"/>
  <c r="O97" i="4"/>
  <c r="P97" i="4"/>
  <c r="Q97" i="4"/>
  <c r="O98" i="4"/>
  <c r="P98" i="4"/>
  <c r="Q98" i="4"/>
  <c r="O99" i="4"/>
  <c r="P99" i="4"/>
  <c r="Q99" i="4"/>
  <c r="O100" i="4"/>
  <c r="P100" i="4"/>
  <c r="Q100" i="4"/>
  <c r="O101" i="4"/>
  <c r="P101" i="4"/>
  <c r="Q101" i="4"/>
  <c r="O102" i="4"/>
  <c r="P102" i="4"/>
  <c r="Q102" i="4"/>
  <c r="O103" i="4"/>
  <c r="P103" i="4"/>
  <c r="Q103" i="4"/>
  <c r="O104" i="4"/>
  <c r="P104" i="4"/>
  <c r="Q104" i="4"/>
  <c r="O105" i="4"/>
  <c r="P105" i="4"/>
  <c r="Q105" i="4"/>
  <c r="O106" i="4"/>
  <c r="P106" i="4"/>
  <c r="Q106" i="4"/>
  <c r="O107" i="4"/>
  <c r="P107" i="4"/>
  <c r="Q107" i="4"/>
  <c r="O108" i="4"/>
  <c r="P108" i="4"/>
  <c r="Q108" i="4"/>
  <c r="O109" i="4"/>
  <c r="P109" i="4"/>
  <c r="Q109" i="4"/>
  <c r="O110" i="4"/>
  <c r="P110" i="4"/>
  <c r="Q110" i="4"/>
  <c r="O111" i="4"/>
  <c r="P111" i="4"/>
  <c r="Q111" i="4"/>
  <c r="O112" i="4"/>
  <c r="P112" i="4"/>
  <c r="Q112" i="4"/>
  <c r="O113" i="4"/>
  <c r="P113" i="4"/>
  <c r="Q113" i="4"/>
  <c r="O114" i="4"/>
  <c r="P114" i="4"/>
  <c r="Q114" i="4"/>
  <c r="O115" i="4"/>
  <c r="P115" i="4"/>
  <c r="Q115" i="4"/>
  <c r="O116" i="4"/>
  <c r="P116" i="4"/>
  <c r="Q116" i="4"/>
  <c r="O117" i="4"/>
  <c r="P117" i="4"/>
  <c r="Q117" i="4"/>
  <c r="O118" i="4"/>
  <c r="P118" i="4"/>
  <c r="Q118" i="4"/>
  <c r="O119" i="4"/>
  <c r="P119" i="4"/>
  <c r="Q119" i="4"/>
  <c r="O120" i="4"/>
  <c r="P120" i="4"/>
  <c r="Q120" i="4"/>
  <c r="O121" i="4"/>
  <c r="P121" i="4"/>
  <c r="Q121" i="4"/>
  <c r="O122" i="4"/>
  <c r="P122" i="4"/>
  <c r="Q122" i="4"/>
  <c r="Q2" i="4"/>
  <c r="P2" i="4"/>
  <c r="O2" i="4"/>
  <c r="M2" i="4"/>
  <c r="L2" i="4"/>
  <c r="K2" i="4"/>
  <c r="F4" i="4"/>
  <c r="G4" i="4"/>
  <c r="H4" i="4"/>
  <c r="I4" i="4"/>
  <c r="F5" i="4"/>
  <c r="G5" i="4"/>
  <c r="H5" i="4"/>
  <c r="I5" i="4"/>
  <c r="F6" i="4"/>
  <c r="G6" i="4"/>
  <c r="H6" i="4"/>
  <c r="I6" i="4"/>
  <c r="F7" i="4"/>
  <c r="G7" i="4"/>
  <c r="H7" i="4"/>
  <c r="I7" i="4"/>
  <c r="F8" i="4"/>
  <c r="G8" i="4"/>
  <c r="H8" i="4"/>
  <c r="I8" i="4"/>
  <c r="F9" i="4"/>
  <c r="G9" i="4"/>
  <c r="H9" i="4"/>
  <c r="I9" i="4"/>
  <c r="F10" i="4"/>
  <c r="G10" i="4"/>
  <c r="H10" i="4"/>
  <c r="I10" i="4"/>
  <c r="F11" i="4"/>
  <c r="G11" i="4"/>
  <c r="H11" i="4"/>
  <c r="I11" i="4"/>
  <c r="F12" i="4"/>
  <c r="G12" i="4"/>
  <c r="H12" i="4"/>
  <c r="I12" i="4"/>
  <c r="F13" i="4"/>
  <c r="G13" i="4"/>
  <c r="H13" i="4"/>
  <c r="I13" i="4"/>
  <c r="F14" i="4"/>
  <c r="G14" i="4"/>
  <c r="H14" i="4"/>
  <c r="I14" i="4"/>
  <c r="F15" i="4"/>
  <c r="G15" i="4"/>
  <c r="H15" i="4"/>
  <c r="I15" i="4"/>
  <c r="F16" i="4"/>
  <c r="G16" i="4"/>
  <c r="H16" i="4"/>
  <c r="I16" i="4"/>
  <c r="F17" i="4"/>
  <c r="G17" i="4"/>
  <c r="H17" i="4"/>
  <c r="I17" i="4"/>
  <c r="F18" i="4"/>
  <c r="G18" i="4"/>
  <c r="H18" i="4"/>
  <c r="I18" i="4"/>
  <c r="F19" i="4"/>
  <c r="G19" i="4"/>
  <c r="H19" i="4"/>
  <c r="I19" i="4"/>
  <c r="F20" i="4"/>
  <c r="G20" i="4"/>
  <c r="H20" i="4"/>
  <c r="I20" i="4"/>
  <c r="F21" i="4"/>
  <c r="G21" i="4"/>
  <c r="H21" i="4"/>
  <c r="I21" i="4"/>
  <c r="F22" i="4"/>
  <c r="G22" i="4"/>
  <c r="H22" i="4"/>
  <c r="I22" i="4"/>
  <c r="F23" i="4"/>
  <c r="G23" i="4"/>
  <c r="H23" i="4"/>
  <c r="I23" i="4"/>
  <c r="F24" i="4"/>
  <c r="G24" i="4"/>
  <c r="H24" i="4"/>
  <c r="I24" i="4"/>
  <c r="F25" i="4"/>
  <c r="G25" i="4"/>
  <c r="H25" i="4"/>
  <c r="I25" i="4"/>
  <c r="F26" i="4"/>
  <c r="G26" i="4"/>
  <c r="H26" i="4"/>
  <c r="I26" i="4"/>
  <c r="F27" i="4"/>
  <c r="G27" i="4"/>
  <c r="H27" i="4"/>
  <c r="I27" i="4"/>
  <c r="F28" i="4"/>
  <c r="G28" i="4"/>
  <c r="H28" i="4"/>
  <c r="I28" i="4"/>
  <c r="F29" i="4"/>
  <c r="G29" i="4"/>
  <c r="H29" i="4"/>
  <c r="I29" i="4"/>
  <c r="F30" i="4"/>
  <c r="G30" i="4"/>
  <c r="H30" i="4"/>
  <c r="I30" i="4"/>
  <c r="F31" i="4"/>
  <c r="G31" i="4"/>
  <c r="H31" i="4"/>
  <c r="I31" i="4"/>
  <c r="F32" i="4"/>
  <c r="G32" i="4"/>
  <c r="H32" i="4"/>
  <c r="I32" i="4"/>
  <c r="F33" i="4"/>
  <c r="G33" i="4"/>
  <c r="H33" i="4"/>
  <c r="I33" i="4"/>
  <c r="F34" i="4"/>
  <c r="G34" i="4"/>
  <c r="H34" i="4"/>
  <c r="I34" i="4"/>
  <c r="F35" i="4"/>
  <c r="G35" i="4"/>
  <c r="H35" i="4"/>
  <c r="I35" i="4"/>
  <c r="F36" i="4"/>
  <c r="G36" i="4"/>
  <c r="H36" i="4"/>
  <c r="I36" i="4"/>
  <c r="F37" i="4"/>
  <c r="G37" i="4"/>
  <c r="H37" i="4"/>
  <c r="I37" i="4"/>
  <c r="F38" i="4"/>
  <c r="G38" i="4"/>
  <c r="H38" i="4"/>
  <c r="I38" i="4"/>
  <c r="F39" i="4"/>
  <c r="G39" i="4"/>
  <c r="H39" i="4"/>
  <c r="I39" i="4"/>
  <c r="F40" i="4"/>
  <c r="G40" i="4"/>
  <c r="H40" i="4"/>
  <c r="I40" i="4"/>
  <c r="F41" i="4"/>
  <c r="G41" i="4"/>
  <c r="H41" i="4"/>
  <c r="I41" i="4"/>
  <c r="F42" i="4"/>
  <c r="G42" i="4"/>
  <c r="H42" i="4"/>
  <c r="I42" i="4"/>
  <c r="F43" i="4"/>
  <c r="G43" i="4"/>
  <c r="H43" i="4"/>
  <c r="I43" i="4"/>
  <c r="F44" i="4"/>
  <c r="G44" i="4"/>
  <c r="H44" i="4"/>
  <c r="I44" i="4"/>
  <c r="F45" i="4"/>
  <c r="G45" i="4"/>
  <c r="H45" i="4"/>
  <c r="I45" i="4"/>
  <c r="F46" i="4"/>
  <c r="G46" i="4"/>
  <c r="H46" i="4"/>
  <c r="I46" i="4"/>
  <c r="F47" i="4"/>
  <c r="G47" i="4"/>
  <c r="H47" i="4"/>
  <c r="I47" i="4"/>
  <c r="F48" i="4"/>
  <c r="G48" i="4"/>
  <c r="H48" i="4"/>
  <c r="I48" i="4"/>
  <c r="F49" i="4"/>
  <c r="G49" i="4"/>
  <c r="H49" i="4"/>
  <c r="I49" i="4"/>
  <c r="F50" i="4"/>
  <c r="G50" i="4"/>
  <c r="H50" i="4"/>
  <c r="I50" i="4"/>
  <c r="F51" i="4"/>
  <c r="G51" i="4"/>
  <c r="H51" i="4"/>
  <c r="I51" i="4"/>
  <c r="F52" i="4"/>
  <c r="G52" i="4"/>
  <c r="H52" i="4"/>
  <c r="I52" i="4"/>
  <c r="F53" i="4"/>
  <c r="G53" i="4"/>
  <c r="H53" i="4"/>
  <c r="I53" i="4"/>
  <c r="F54" i="4"/>
  <c r="G54" i="4"/>
  <c r="H54" i="4"/>
  <c r="I54" i="4"/>
  <c r="F55" i="4"/>
  <c r="G55" i="4"/>
  <c r="H55" i="4"/>
  <c r="I55" i="4"/>
  <c r="F56" i="4"/>
  <c r="G56" i="4"/>
  <c r="H56" i="4"/>
  <c r="I56" i="4"/>
  <c r="F57" i="4"/>
  <c r="G57" i="4"/>
  <c r="H57" i="4"/>
  <c r="I57" i="4"/>
  <c r="F58" i="4"/>
  <c r="G58" i="4"/>
  <c r="H58" i="4"/>
  <c r="I58" i="4"/>
  <c r="F59" i="4"/>
  <c r="G59" i="4"/>
  <c r="H59" i="4"/>
  <c r="I59" i="4"/>
  <c r="F60" i="4"/>
  <c r="G60" i="4"/>
  <c r="H60" i="4"/>
  <c r="I60" i="4"/>
  <c r="F61" i="4"/>
  <c r="G61" i="4"/>
  <c r="H61" i="4"/>
  <c r="I61" i="4"/>
  <c r="F62" i="4"/>
  <c r="G62" i="4"/>
  <c r="H62" i="4"/>
  <c r="I62" i="4"/>
  <c r="F63" i="4"/>
  <c r="G63" i="4"/>
  <c r="H63" i="4"/>
  <c r="I63" i="4"/>
  <c r="F64" i="4"/>
  <c r="G64" i="4"/>
  <c r="H64" i="4"/>
  <c r="I64" i="4"/>
  <c r="F65" i="4"/>
  <c r="G65" i="4"/>
  <c r="H65" i="4"/>
  <c r="I65" i="4"/>
  <c r="F66" i="4"/>
  <c r="G66" i="4"/>
  <c r="H66" i="4"/>
  <c r="I66" i="4"/>
  <c r="F67" i="4"/>
  <c r="G67" i="4"/>
  <c r="H67" i="4"/>
  <c r="I67" i="4"/>
  <c r="F68" i="4"/>
  <c r="G68" i="4"/>
  <c r="H68" i="4"/>
  <c r="I68" i="4"/>
  <c r="F69" i="4"/>
  <c r="G69" i="4"/>
  <c r="H69" i="4"/>
  <c r="I69" i="4"/>
  <c r="F70" i="4"/>
  <c r="G70" i="4"/>
  <c r="H70" i="4"/>
  <c r="I70" i="4"/>
  <c r="F71" i="4"/>
  <c r="G71" i="4"/>
  <c r="H71" i="4"/>
  <c r="I71" i="4"/>
  <c r="F72" i="4"/>
  <c r="G72" i="4"/>
  <c r="H72" i="4"/>
  <c r="I72" i="4"/>
  <c r="F73" i="4"/>
  <c r="G73" i="4"/>
  <c r="H73" i="4"/>
  <c r="I73" i="4"/>
  <c r="F74" i="4"/>
  <c r="G74" i="4"/>
  <c r="H74" i="4"/>
  <c r="I74" i="4"/>
  <c r="F75" i="4"/>
  <c r="G75" i="4"/>
  <c r="H75" i="4"/>
  <c r="I75" i="4"/>
  <c r="F76" i="4"/>
  <c r="G76" i="4"/>
  <c r="H76" i="4"/>
  <c r="I76" i="4"/>
  <c r="F77" i="4"/>
  <c r="G77" i="4"/>
  <c r="H77" i="4"/>
  <c r="I77" i="4"/>
  <c r="F78" i="4"/>
  <c r="G78" i="4"/>
  <c r="H78" i="4"/>
  <c r="I78" i="4"/>
  <c r="F79" i="4"/>
  <c r="G79" i="4"/>
  <c r="H79" i="4"/>
  <c r="I79" i="4"/>
  <c r="F80" i="4"/>
  <c r="G80" i="4"/>
  <c r="H80" i="4"/>
  <c r="I80" i="4"/>
  <c r="F81" i="4"/>
  <c r="G81" i="4"/>
  <c r="H81" i="4"/>
  <c r="I81" i="4"/>
  <c r="F82" i="4"/>
  <c r="G82" i="4"/>
  <c r="H82" i="4"/>
  <c r="I82" i="4"/>
  <c r="F83" i="4"/>
  <c r="G83" i="4"/>
  <c r="H83" i="4"/>
  <c r="I83" i="4"/>
  <c r="F84" i="4"/>
  <c r="G84" i="4"/>
  <c r="H84" i="4"/>
  <c r="I84" i="4"/>
  <c r="F85" i="4"/>
  <c r="G85" i="4"/>
  <c r="H85" i="4"/>
  <c r="I85" i="4"/>
  <c r="F86" i="4"/>
  <c r="G86" i="4"/>
  <c r="H86" i="4"/>
  <c r="I86" i="4"/>
  <c r="F87" i="4"/>
  <c r="G87" i="4"/>
  <c r="H87" i="4"/>
  <c r="I87" i="4"/>
  <c r="F88" i="4"/>
  <c r="G88" i="4"/>
  <c r="H88" i="4"/>
  <c r="I88" i="4"/>
  <c r="F89" i="4"/>
  <c r="G89" i="4"/>
  <c r="H89" i="4"/>
  <c r="I89" i="4"/>
  <c r="F90" i="4"/>
  <c r="G90" i="4"/>
  <c r="H90" i="4"/>
  <c r="I90" i="4"/>
  <c r="F91" i="4"/>
  <c r="G91" i="4"/>
  <c r="H91" i="4"/>
  <c r="I91" i="4"/>
  <c r="F92" i="4"/>
  <c r="G92" i="4"/>
  <c r="H92" i="4"/>
  <c r="I92" i="4"/>
  <c r="F93" i="4"/>
  <c r="G93" i="4"/>
  <c r="H93" i="4"/>
  <c r="I93" i="4"/>
  <c r="F94" i="4"/>
  <c r="G94" i="4"/>
  <c r="H94" i="4"/>
  <c r="I94" i="4"/>
  <c r="F95" i="4"/>
  <c r="G95" i="4"/>
  <c r="H95" i="4"/>
  <c r="I95" i="4"/>
  <c r="F96" i="4"/>
  <c r="G96" i="4"/>
  <c r="H96" i="4"/>
  <c r="I96" i="4"/>
  <c r="F97" i="4"/>
  <c r="G97" i="4"/>
  <c r="H97" i="4"/>
  <c r="I97" i="4"/>
  <c r="F98" i="4"/>
  <c r="G98" i="4"/>
  <c r="H98" i="4"/>
  <c r="I98" i="4"/>
  <c r="F99" i="4"/>
  <c r="G99" i="4"/>
  <c r="H99" i="4"/>
  <c r="I99" i="4"/>
  <c r="F100" i="4"/>
  <c r="G100" i="4"/>
  <c r="H100" i="4"/>
  <c r="I100" i="4"/>
  <c r="F101" i="4"/>
  <c r="G101" i="4"/>
  <c r="H101" i="4"/>
  <c r="I101" i="4"/>
  <c r="F102" i="4"/>
  <c r="G102" i="4"/>
  <c r="H102" i="4"/>
  <c r="I102" i="4"/>
  <c r="F103" i="4"/>
  <c r="G103" i="4"/>
  <c r="H103" i="4"/>
  <c r="I103" i="4"/>
  <c r="F104" i="4"/>
  <c r="G104" i="4"/>
  <c r="H104" i="4"/>
  <c r="I104" i="4"/>
  <c r="F105" i="4"/>
  <c r="G105" i="4"/>
  <c r="H105" i="4"/>
  <c r="I105" i="4"/>
  <c r="F106" i="4"/>
  <c r="G106" i="4"/>
  <c r="H106" i="4"/>
  <c r="I106" i="4"/>
  <c r="F107" i="4"/>
  <c r="G107" i="4"/>
  <c r="H107" i="4"/>
  <c r="I107" i="4"/>
  <c r="F108" i="4"/>
  <c r="G108" i="4"/>
  <c r="H108" i="4"/>
  <c r="I108" i="4"/>
  <c r="F109" i="4"/>
  <c r="G109" i="4"/>
  <c r="H109" i="4"/>
  <c r="I109" i="4"/>
  <c r="F110" i="4"/>
  <c r="G110" i="4"/>
  <c r="H110" i="4"/>
  <c r="I110" i="4"/>
  <c r="F111" i="4"/>
  <c r="G111" i="4"/>
  <c r="H111" i="4"/>
  <c r="I111" i="4"/>
  <c r="F112" i="4"/>
  <c r="G112" i="4"/>
  <c r="H112" i="4"/>
  <c r="I112" i="4"/>
  <c r="F113" i="4"/>
  <c r="G113" i="4"/>
  <c r="H113" i="4"/>
  <c r="I113" i="4"/>
  <c r="F114" i="4"/>
  <c r="G114" i="4"/>
  <c r="H114" i="4"/>
  <c r="I114" i="4"/>
  <c r="F115" i="4"/>
  <c r="G115" i="4"/>
  <c r="H115" i="4"/>
  <c r="I115" i="4"/>
  <c r="F116" i="4"/>
  <c r="G116" i="4"/>
  <c r="H116" i="4"/>
  <c r="I116" i="4"/>
  <c r="F117" i="4"/>
  <c r="G117" i="4"/>
  <c r="H117" i="4"/>
  <c r="I117" i="4"/>
  <c r="F118" i="4"/>
  <c r="G118" i="4"/>
  <c r="H118" i="4"/>
  <c r="I118" i="4"/>
  <c r="F119" i="4"/>
  <c r="G119" i="4"/>
  <c r="H119" i="4"/>
  <c r="I119" i="4"/>
  <c r="F120" i="4"/>
  <c r="G120" i="4"/>
  <c r="H120" i="4"/>
  <c r="I120" i="4"/>
  <c r="F121" i="4"/>
  <c r="G121" i="4"/>
  <c r="H121" i="4"/>
  <c r="I121" i="4"/>
  <c r="F122" i="4"/>
  <c r="G122" i="4"/>
  <c r="H122" i="4"/>
  <c r="I122" i="4"/>
  <c r="I3" i="4"/>
  <c r="H3" i="4"/>
  <c r="G3" i="4"/>
  <c r="F3" i="4"/>
  <c r="I2" i="4"/>
  <c r="H2" i="4"/>
  <c r="G2" i="4"/>
  <c r="F2" i="4"/>
  <c r="A3" i="4"/>
  <c r="B3" i="4"/>
  <c r="C3" i="4"/>
  <c r="D3" i="4"/>
  <c r="A4" i="4"/>
  <c r="B4" i="4"/>
  <c r="C4" i="4"/>
  <c r="D4" i="4"/>
  <c r="A5" i="4"/>
  <c r="B5" i="4"/>
  <c r="C5" i="4"/>
  <c r="D5" i="4"/>
  <c r="A6" i="4"/>
  <c r="B6" i="4"/>
  <c r="C6" i="4"/>
  <c r="D6" i="4"/>
  <c r="A7" i="4"/>
  <c r="B7" i="4"/>
  <c r="C7" i="4"/>
  <c r="D7" i="4"/>
  <c r="A8" i="4"/>
  <c r="B8" i="4"/>
  <c r="C8" i="4"/>
  <c r="D8" i="4"/>
  <c r="A9" i="4"/>
  <c r="B9" i="4"/>
  <c r="C9" i="4"/>
  <c r="D9" i="4"/>
  <c r="A10" i="4"/>
  <c r="B10" i="4"/>
  <c r="C10" i="4"/>
  <c r="D10" i="4"/>
  <c r="A11" i="4"/>
  <c r="B11" i="4"/>
  <c r="C11" i="4"/>
  <c r="D11" i="4"/>
  <c r="A12" i="4"/>
  <c r="B12" i="4"/>
  <c r="C12" i="4"/>
  <c r="D12" i="4"/>
  <c r="A13" i="4"/>
  <c r="B13" i="4"/>
  <c r="C13" i="4"/>
  <c r="D13" i="4"/>
  <c r="A14" i="4"/>
  <c r="B14" i="4"/>
  <c r="C14" i="4"/>
  <c r="D14" i="4"/>
  <c r="A15" i="4"/>
  <c r="B15" i="4"/>
  <c r="C15" i="4"/>
  <c r="D15" i="4"/>
  <c r="A16" i="4"/>
  <c r="B16" i="4"/>
  <c r="C16" i="4"/>
  <c r="D16" i="4"/>
  <c r="A17" i="4"/>
  <c r="B17" i="4"/>
  <c r="C17" i="4"/>
  <c r="D17" i="4"/>
  <c r="A18" i="4"/>
  <c r="B18" i="4"/>
  <c r="C18" i="4"/>
  <c r="D18" i="4"/>
  <c r="A19" i="4"/>
  <c r="B19" i="4"/>
  <c r="C19" i="4"/>
  <c r="D19" i="4"/>
  <c r="A20" i="4"/>
  <c r="B20" i="4"/>
  <c r="C20" i="4"/>
  <c r="D20" i="4"/>
  <c r="A21" i="4"/>
  <c r="B21" i="4"/>
  <c r="C21" i="4"/>
  <c r="D21" i="4"/>
  <c r="A22" i="4"/>
  <c r="B22" i="4"/>
  <c r="C22" i="4"/>
  <c r="D22" i="4"/>
  <c r="A23" i="4"/>
  <c r="B23" i="4"/>
  <c r="C23" i="4"/>
  <c r="D23" i="4"/>
  <c r="A24" i="4"/>
  <c r="B24" i="4"/>
  <c r="C24" i="4"/>
  <c r="D24" i="4"/>
  <c r="A25" i="4"/>
  <c r="B25" i="4"/>
  <c r="C25" i="4"/>
  <c r="D25" i="4"/>
  <c r="A26" i="4"/>
  <c r="B26" i="4"/>
  <c r="C26" i="4"/>
  <c r="D26" i="4"/>
  <c r="A27" i="4"/>
  <c r="B27" i="4"/>
  <c r="C27" i="4"/>
  <c r="D27" i="4"/>
  <c r="A28" i="4"/>
  <c r="B28" i="4"/>
  <c r="C28" i="4"/>
  <c r="D28" i="4"/>
  <c r="A29" i="4"/>
  <c r="B29" i="4"/>
  <c r="C29" i="4"/>
  <c r="D29" i="4"/>
  <c r="A30" i="4"/>
  <c r="B30" i="4"/>
  <c r="C30" i="4"/>
  <c r="D30" i="4"/>
  <c r="A31" i="4"/>
  <c r="B31" i="4"/>
  <c r="C31" i="4"/>
  <c r="D31" i="4"/>
  <c r="A32" i="4"/>
  <c r="B32" i="4"/>
  <c r="C32" i="4"/>
  <c r="D32" i="4"/>
  <c r="A33" i="4"/>
  <c r="B33" i="4"/>
  <c r="C33" i="4"/>
  <c r="D33" i="4"/>
  <c r="A34" i="4"/>
  <c r="B34" i="4"/>
  <c r="C34" i="4"/>
  <c r="D34" i="4"/>
  <c r="A35" i="4"/>
  <c r="B35" i="4"/>
  <c r="C35" i="4"/>
  <c r="D35" i="4"/>
  <c r="A36" i="4"/>
  <c r="B36" i="4"/>
  <c r="C36" i="4"/>
  <c r="D36" i="4"/>
  <c r="A37" i="4"/>
  <c r="B37" i="4"/>
  <c r="C37" i="4"/>
  <c r="D37" i="4"/>
  <c r="A38" i="4"/>
  <c r="B38" i="4"/>
  <c r="C38" i="4"/>
  <c r="D38" i="4"/>
  <c r="A39" i="4"/>
  <c r="B39" i="4"/>
  <c r="C39" i="4"/>
  <c r="D39" i="4"/>
  <c r="A40" i="4"/>
  <c r="B40" i="4"/>
  <c r="C40" i="4"/>
  <c r="D40" i="4"/>
  <c r="A41" i="4"/>
  <c r="B41" i="4"/>
  <c r="C41" i="4"/>
  <c r="D41" i="4"/>
  <c r="A42" i="4"/>
  <c r="B42" i="4"/>
  <c r="C42" i="4"/>
  <c r="D42" i="4"/>
  <c r="A43" i="4"/>
  <c r="B43" i="4"/>
  <c r="C43" i="4"/>
  <c r="D43" i="4"/>
  <c r="A44" i="4"/>
  <c r="B44" i="4"/>
  <c r="C44" i="4"/>
  <c r="D44" i="4"/>
  <c r="A45" i="4"/>
  <c r="B45" i="4"/>
  <c r="C45" i="4"/>
  <c r="D45" i="4"/>
  <c r="A46" i="4"/>
  <c r="B46" i="4"/>
  <c r="C46" i="4"/>
  <c r="D46" i="4"/>
  <c r="A47" i="4"/>
  <c r="B47" i="4"/>
  <c r="C47" i="4"/>
  <c r="D47" i="4"/>
  <c r="A48" i="4"/>
  <c r="B48" i="4"/>
  <c r="C48" i="4"/>
  <c r="D48" i="4"/>
  <c r="A49" i="4"/>
  <c r="B49" i="4"/>
  <c r="C49" i="4"/>
  <c r="D49" i="4"/>
  <c r="A50" i="4"/>
  <c r="B50" i="4"/>
  <c r="C50" i="4"/>
  <c r="D50" i="4"/>
  <c r="A51" i="4"/>
  <c r="B51" i="4"/>
  <c r="C51" i="4"/>
  <c r="D51" i="4"/>
  <c r="A52" i="4"/>
  <c r="B52" i="4"/>
  <c r="C52" i="4"/>
  <c r="D52" i="4"/>
  <c r="A53" i="4"/>
  <c r="B53" i="4"/>
  <c r="C53" i="4"/>
  <c r="D53" i="4"/>
  <c r="A54" i="4"/>
  <c r="B54" i="4"/>
  <c r="C54" i="4"/>
  <c r="D54" i="4"/>
  <c r="A55" i="4"/>
  <c r="B55" i="4"/>
  <c r="C55" i="4"/>
  <c r="D55" i="4"/>
  <c r="A56" i="4"/>
  <c r="B56" i="4"/>
  <c r="C56" i="4"/>
  <c r="D56" i="4"/>
  <c r="A57" i="4"/>
  <c r="B57" i="4"/>
  <c r="C57" i="4"/>
  <c r="D57" i="4"/>
  <c r="A58" i="4"/>
  <c r="B58" i="4"/>
  <c r="C58" i="4"/>
  <c r="D58" i="4"/>
  <c r="A59" i="4"/>
  <c r="B59" i="4"/>
  <c r="C59" i="4"/>
  <c r="D59" i="4"/>
  <c r="A60" i="4"/>
  <c r="B60" i="4"/>
  <c r="C60" i="4"/>
  <c r="D60" i="4"/>
  <c r="A61" i="4"/>
  <c r="B61" i="4"/>
  <c r="C61" i="4"/>
  <c r="D61" i="4"/>
  <c r="A62" i="4"/>
  <c r="B62" i="4"/>
  <c r="C62" i="4"/>
  <c r="D62" i="4"/>
  <c r="A63" i="4"/>
  <c r="B63" i="4"/>
  <c r="C63" i="4"/>
  <c r="D63" i="4"/>
  <c r="A64" i="4"/>
  <c r="B64" i="4"/>
  <c r="C64" i="4"/>
  <c r="D64" i="4"/>
  <c r="A65" i="4"/>
  <c r="B65" i="4"/>
  <c r="C65" i="4"/>
  <c r="D65" i="4"/>
  <c r="A66" i="4"/>
  <c r="B66" i="4"/>
  <c r="C66" i="4"/>
  <c r="D66" i="4"/>
  <c r="A67" i="4"/>
  <c r="B67" i="4"/>
  <c r="C67" i="4"/>
  <c r="D67" i="4"/>
  <c r="A68" i="4"/>
  <c r="B68" i="4"/>
  <c r="C68" i="4"/>
  <c r="D68" i="4"/>
  <c r="A69" i="4"/>
  <c r="B69" i="4"/>
  <c r="C69" i="4"/>
  <c r="D69" i="4"/>
  <c r="A70" i="4"/>
  <c r="B70" i="4"/>
  <c r="C70" i="4"/>
  <c r="D70" i="4"/>
  <c r="A71" i="4"/>
  <c r="B71" i="4"/>
  <c r="C71" i="4"/>
  <c r="D71" i="4"/>
  <c r="A72" i="4"/>
  <c r="B72" i="4"/>
  <c r="C72" i="4"/>
  <c r="D72" i="4"/>
  <c r="A73" i="4"/>
  <c r="B73" i="4"/>
  <c r="C73" i="4"/>
  <c r="D73" i="4"/>
  <c r="A74" i="4"/>
  <c r="B74" i="4"/>
  <c r="C74" i="4"/>
  <c r="D74" i="4"/>
  <c r="A75" i="4"/>
  <c r="B75" i="4"/>
  <c r="C75" i="4"/>
  <c r="D75" i="4"/>
  <c r="A76" i="4"/>
  <c r="B76" i="4"/>
  <c r="C76" i="4"/>
  <c r="D76" i="4"/>
  <c r="A77" i="4"/>
  <c r="B77" i="4"/>
  <c r="C77" i="4"/>
  <c r="D77" i="4"/>
  <c r="A78" i="4"/>
  <c r="B78" i="4"/>
  <c r="C78" i="4"/>
  <c r="D78" i="4"/>
  <c r="A79" i="4"/>
  <c r="B79" i="4"/>
  <c r="C79" i="4"/>
  <c r="D79" i="4"/>
  <c r="A80" i="4"/>
  <c r="B80" i="4"/>
  <c r="C80" i="4"/>
  <c r="D80" i="4"/>
  <c r="A81" i="4"/>
  <c r="B81" i="4"/>
  <c r="C81" i="4"/>
  <c r="D81" i="4"/>
  <c r="A82" i="4"/>
  <c r="B82" i="4"/>
  <c r="C82" i="4"/>
  <c r="D82" i="4"/>
  <c r="A83" i="4"/>
  <c r="B83" i="4"/>
  <c r="C83" i="4"/>
  <c r="D83" i="4"/>
  <c r="A84" i="4"/>
  <c r="B84" i="4"/>
  <c r="C84" i="4"/>
  <c r="D84" i="4"/>
  <c r="A85" i="4"/>
  <c r="B85" i="4"/>
  <c r="C85" i="4"/>
  <c r="D85" i="4"/>
  <c r="A86" i="4"/>
  <c r="B86" i="4"/>
  <c r="C86" i="4"/>
  <c r="D86" i="4"/>
  <c r="A87" i="4"/>
  <c r="B87" i="4"/>
  <c r="C87" i="4"/>
  <c r="D87" i="4"/>
  <c r="A88" i="4"/>
  <c r="B88" i="4"/>
  <c r="C88" i="4"/>
  <c r="D88" i="4"/>
  <c r="A89" i="4"/>
  <c r="B89" i="4"/>
  <c r="C89" i="4"/>
  <c r="D89" i="4"/>
  <c r="A90" i="4"/>
  <c r="B90" i="4"/>
  <c r="C90" i="4"/>
  <c r="D90" i="4"/>
  <c r="A91" i="4"/>
  <c r="B91" i="4"/>
  <c r="C91" i="4"/>
  <c r="D91" i="4"/>
  <c r="A92" i="4"/>
  <c r="B92" i="4"/>
  <c r="C92" i="4"/>
  <c r="D92" i="4"/>
  <c r="A93" i="4"/>
  <c r="B93" i="4"/>
  <c r="C93" i="4"/>
  <c r="D93" i="4"/>
  <c r="A94" i="4"/>
  <c r="B94" i="4"/>
  <c r="C94" i="4"/>
  <c r="D94" i="4"/>
  <c r="A95" i="4"/>
  <c r="B95" i="4"/>
  <c r="C95" i="4"/>
  <c r="D95" i="4"/>
  <c r="A96" i="4"/>
  <c r="B96" i="4"/>
  <c r="C96" i="4"/>
  <c r="D96" i="4"/>
  <c r="A97" i="4"/>
  <c r="B97" i="4"/>
  <c r="C97" i="4"/>
  <c r="D97" i="4"/>
  <c r="A98" i="4"/>
  <c r="B98" i="4"/>
  <c r="C98" i="4"/>
  <c r="D98" i="4"/>
  <c r="A99" i="4"/>
  <c r="B99" i="4"/>
  <c r="C99" i="4"/>
  <c r="D99" i="4"/>
  <c r="A100" i="4"/>
  <c r="B100" i="4"/>
  <c r="C100" i="4"/>
  <c r="D100" i="4"/>
  <c r="A101" i="4"/>
  <c r="B101" i="4"/>
  <c r="C101" i="4"/>
  <c r="D101" i="4"/>
  <c r="A102" i="4"/>
  <c r="B102" i="4"/>
  <c r="C102" i="4"/>
  <c r="D102" i="4"/>
  <c r="A103" i="4"/>
  <c r="B103" i="4"/>
  <c r="C103" i="4"/>
  <c r="D103" i="4"/>
  <c r="A104" i="4"/>
  <c r="B104" i="4"/>
  <c r="C104" i="4"/>
  <c r="D104" i="4"/>
  <c r="A105" i="4"/>
  <c r="B105" i="4"/>
  <c r="C105" i="4"/>
  <c r="D105" i="4"/>
  <c r="A106" i="4"/>
  <c r="B106" i="4"/>
  <c r="C106" i="4"/>
  <c r="D106" i="4"/>
  <c r="A107" i="4"/>
  <c r="B107" i="4"/>
  <c r="C107" i="4"/>
  <c r="D107" i="4"/>
  <c r="A108" i="4"/>
  <c r="B108" i="4"/>
  <c r="C108" i="4"/>
  <c r="D108" i="4"/>
  <c r="A109" i="4"/>
  <c r="B109" i="4"/>
  <c r="C109" i="4"/>
  <c r="D109" i="4"/>
  <c r="A110" i="4"/>
  <c r="B110" i="4"/>
  <c r="C110" i="4"/>
  <c r="D110" i="4"/>
  <c r="A111" i="4"/>
  <c r="B111" i="4"/>
  <c r="C111" i="4"/>
  <c r="D111" i="4"/>
  <c r="A112" i="4"/>
  <c r="B112" i="4"/>
  <c r="C112" i="4"/>
  <c r="D112" i="4"/>
  <c r="A113" i="4"/>
  <c r="B113" i="4"/>
  <c r="C113" i="4"/>
  <c r="D113" i="4"/>
  <c r="A114" i="4"/>
  <c r="B114" i="4"/>
  <c r="C114" i="4"/>
  <c r="D114" i="4"/>
  <c r="A115" i="4"/>
  <c r="B115" i="4"/>
  <c r="C115" i="4"/>
  <c r="D115" i="4"/>
  <c r="A116" i="4"/>
  <c r="B116" i="4"/>
  <c r="C116" i="4"/>
  <c r="D116" i="4"/>
  <c r="A117" i="4"/>
  <c r="B117" i="4"/>
  <c r="C117" i="4"/>
  <c r="D117" i="4"/>
  <c r="A118" i="4"/>
  <c r="B118" i="4"/>
  <c r="C118" i="4"/>
  <c r="D118" i="4"/>
  <c r="A119" i="4"/>
  <c r="B119" i="4"/>
  <c r="C119" i="4"/>
  <c r="D119" i="4"/>
  <c r="A120" i="4"/>
  <c r="B120" i="4"/>
  <c r="C120" i="4"/>
  <c r="D120" i="4"/>
  <c r="A121" i="4"/>
  <c r="B121" i="4"/>
  <c r="C121" i="4"/>
  <c r="D121" i="4"/>
  <c r="D2" i="4"/>
  <c r="C2" i="4"/>
  <c r="B2" i="4"/>
  <c r="A2" i="4"/>
  <c r="A3" i="3"/>
  <c r="B3" i="3"/>
  <c r="C3" i="3"/>
  <c r="D3" i="3"/>
  <c r="A4" i="3"/>
  <c r="B4" i="3"/>
  <c r="C4" i="3"/>
  <c r="D4" i="3"/>
  <c r="A5" i="3"/>
  <c r="B5" i="3"/>
  <c r="C5" i="3"/>
  <c r="D5" i="3"/>
  <c r="A6" i="3"/>
  <c r="B6" i="3"/>
  <c r="C6" i="3"/>
  <c r="D6" i="3"/>
  <c r="A7" i="3"/>
  <c r="B7" i="3"/>
  <c r="C7" i="3"/>
  <c r="D7" i="3"/>
  <c r="A8" i="3"/>
  <c r="B8" i="3"/>
  <c r="C8" i="3"/>
  <c r="D8" i="3"/>
  <c r="A9" i="3"/>
  <c r="B9" i="3"/>
  <c r="C9" i="3"/>
  <c r="D9" i="3"/>
  <c r="A10" i="3"/>
  <c r="B10" i="3"/>
  <c r="C10" i="3"/>
  <c r="D10" i="3"/>
  <c r="A11" i="3"/>
  <c r="B11" i="3"/>
  <c r="C11" i="3"/>
  <c r="D11" i="3"/>
  <c r="A12" i="3"/>
  <c r="B12" i="3"/>
  <c r="C12" i="3"/>
  <c r="D12" i="3"/>
  <c r="A13" i="3"/>
  <c r="B13" i="3"/>
  <c r="C13" i="3"/>
  <c r="D13" i="3"/>
  <c r="A14" i="3"/>
  <c r="B14" i="3"/>
  <c r="C14" i="3"/>
  <c r="D14" i="3"/>
  <c r="A15" i="3"/>
  <c r="B15" i="3"/>
  <c r="C15" i="3"/>
  <c r="D15" i="3"/>
  <c r="A16" i="3"/>
  <c r="B16" i="3"/>
  <c r="C16" i="3"/>
  <c r="D16" i="3"/>
  <c r="A17" i="3"/>
  <c r="B17" i="3"/>
  <c r="C17" i="3"/>
  <c r="D17" i="3"/>
  <c r="A18" i="3"/>
  <c r="B18" i="3"/>
  <c r="C18" i="3"/>
  <c r="D18" i="3"/>
  <c r="A19" i="3"/>
  <c r="B19" i="3"/>
  <c r="C19" i="3"/>
  <c r="D19" i="3"/>
  <c r="A20" i="3"/>
  <c r="B20" i="3"/>
  <c r="C20" i="3"/>
  <c r="D20" i="3"/>
  <c r="A21" i="3"/>
  <c r="B21" i="3"/>
  <c r="C21" i="3"/>
  <c r="D21" i="3"/>
  <c r="A22" i="3"/>
  <c r="B22" i="3"/>
  <c r="C22" i="3"/>
  <c r="D22" i="3"/>
  <c r="A23" i="3"/>
  <c r="B23" i="3"/>
  <c r="C23" i="3"/>
  <c r="D23" i="3"/>
  <c r="A24" i="3"/>
  <c r="B24" i="3"/>
  <c r="C24" i="3"/>
  <c r="D24" i="3"/>
  <c r="A25" i="3"/>
  <c r="B25" i="3"/>
  <c r="C25" i="3"/>
  <c r="D25" i="3"/>
  <c r="A26" i="3"/>
  <c r="B26" i="3"/>
  <c r="C26" i="3"/>
  <c r="D26" i="3"/>
  <c r="A27" i="3"/>
  <c r="B27" i="3"/>
  <c r="C27" i="3"/>
  <c r="D27" i="3"/>
  <c r="A28" i="3"/>
  <c r="B28" i="3"/>
  <c r="C28" i="3"/>
  <c r="D28" i="3"/>
  <c r="A29" i="3"/>
  <c r="B29" i="3"/>
  <c r="C29" i="3"/>
  <c r="D29" i="3"/>
  <c r="A30" i="3"/>
  <c r="B30" i="3"/>
  <c r="C30" i="3"/>
  <c r="D30" i="3"/>
  <c r="A31" i="3"/>
  <c r="B31" i="3"/>
  <c r="C31" i="3"/>
  <c r="D31" i="3"/>
  <c r="A32" i="3"/>
  <c r="B32" i="3"/>
  <c r="C32" i="3"/>
  <c r="D32" i="3"/>
  <c r="A33" i="3"/>
  <c r="B33" i="3"/>
  <c r="C33" i="3"/>
  <c r="D33" i="3"/>
  <c r="A34" i="3"/>
  <c r="B34" i="3"/>
  <c r="C34" i="3"/>
  <c r="D34" i="3"/>
  <c r="A35" i="3"/>
  <c r="B35" i="3"/>
  <c r="C35" i="3"/>
  <c r="D35" i="3"/>
  <c r="A36" i="3"/>
  <c r="B36" i="3"/>
  <c r="C36" i="3"/>
  <c r="D36" i="3"/>
  <c r="A37" i="3"/>
  <c r="B37" i="3"/>
  <c r="C37" i="3"/>
  <c r="D37" i="3"/>
  <c r="A38" i="3"/>
  <c r="B38" i="3"/>
  <c r="C38" i="3"/>
  <c r="D38" i="3"/>
  <c r="A39" i="3"/>
  <c r="B39" i="3"/>
  <c r="C39" i="3"/>
  <c r="D39" i="3"/>
  <c r="A40" i="3"/>
  <c r="B40" i="3"/>
  <c r="C40" i="3"/>
  <c r="D40" i="3"/>
  <c r="A41" i="3"/>
  <c r="B41" i="3"/>
  <c r="C41" i="3"/>
  <c r="D41" i="3"/>
  <c r="A42" i="3"/>
  <c r="B42" i="3"/>
  <c r="C42" i="3"/>
  <c r="D42" i="3"/>
  <c r="A43" i="3"/>
  <c r="B43" i="3"/>
  <c r="C43" i="3"/>
  <c r="D43" i="3"/>
  <c r="A44" i="3"/>
  <c r="B44" i="3"/>
  <c r="C44" i="3"/>
  <c r="D44" i="3"/>
  <c r="A45" i="3"/>
  <c r="B45" i="3"/>
  <c r="C45" i="3"/>
  <c r="D45" i="3"/>
  <c r="A46" i="3"/>
  <c r="B46" i="3"/>
  <c r="C46" i="3"/>
  <c r="D46" i="3"/>
  <c r="A47" i="3"/>
  <c r="B47" i="3"/>
  <c r="C47" i="3"/>
  <c r="D47" i="3"/>
  <c r="A48" i="3"/>
  <c r="B48" i="3"/>
  <c r="C48" i="3"/>
  <c r="D48" i="3"/>
  <c r="A49" i="3"/>
  <c r="B49" i="3"/>
  <c r="C49" i="3"/>
  <c r="D49" i="3"/>
  <c r="A50" i="3"/>
  <c r="B50" i="3"/>
  <c r="C50" i="3"/>
  <c r="D50" i="3"/>
  <c r="A51" i="3"/>
  <c r="B51" i="3"/>
  <c r="C51" i="3"/>
  <c r="D51" i="3"/>
  <c r="A52" i="3"/>
  <c r="B52" i="3"/>
  <c r="C52" i="3"/>
  <c r="D52" i="3"/>
  <c r="A53" i="3"/>
  <c r="B53" i="3"/>
  <c r="C53" i="3"/>
  <c r="D53" i="3"/>
  <c r="A54" i="3"/>
  <c r="B54" i="3"/>
  <c r="C54" i="3"/>
  <c r="D54" i="3"/>
  <c r="A55" i="3"/>
  <c r="B55" i="3"/>
  <c r="C55" i="3"/>
  <c r="D55" i="3"/>
  <c r="A56" i="3"/>
  <c r="B56" i="3"/>
  <c r="C56" i="3"/>
  <c r="D56" i="3"/>
  <c r="A57" i="3"/>
  <c r="B57" i="3"/>
  <c r="C57" i="3"/>
  <c r="D57" i="3"/>
  <c r="A58" i="3"/>
  <c r="B58" i="3"/>
  <c r="C58" i="3"/>
  <c r="D58" i="3"/>
  <c r="A59" i="3"/>
  <c r="B59" i="3"/>
  <c r="C59" i="3"/>
  <c r="D59" i="3"/>
  <c r="A60" i="3"/>
  <c r="B60" i="3"/>
  <c r="C60" i="3"/>
  <c r="D60" i="3"/>
  <c r="A61" i="3"/>
  <c r="B61" i="3"/>
  <c r="C61" i="3"/>
  <c r="D61" i="3"/>
  <c r="A62" i="3"/>
  <c r="B62" i="3"/>
  <c r="C62" i="3"/>
  <c r="D62" i="3"/>
  <c r="A63" i="3"/>
  <c r="B63" i="3"/>
  <c r="C63" i="3"/>
  <c r="D63" i="3"/>
  <c r="A64" i="3"/>
  <c r="B64" i="3"/>
  <c r="C64" i="3"/>
  <c r="D64" i="3"/>
  <c r="A65" i="3"/>
  <c r="B65" i="3"/>
  <c r="C65" i="3"/>
  <c r="D65" i="3"/>
  <c r="A66" i="3"/>
  <c r="B66" i="3"/>
  <c r="C66" i="3"/>
  <c r="D66" i="3"/>
  <c r="A67" i="3"/>
  <c r="B67" i="3"/>
  <c r="C67" i="3"/>
  <c r="D67" i="3"/>
  <c r="A68" i="3"/>
  <c r="B68" i="3"/>
  <c r="C68" i="3"/>
  <c r="D68" i="3"/>
  <c r="A69" i="3"/>
  <c r="B69" i="3"/>
  <c r="C69" i="3"/>
  <c r="D69" i="3"/>
  <c r="A70" i="3"/>
  <c r="B70" i="3"/>
  <c r="C70" i="3"/>
  <c r="D70" i="3"/>
  <c r="A71" i="3"/>
  <c r="B71" i="3"/>
  <c r="C71" i="3"/>
  <c r="D71" i="3"/>
  <c r="A72" i="3"/>
  <c r="B72" i="3"/>
  <c r="C72" i="3"/>
  <c r="D72" i="3"/>
  <c r="A73" i="3"/>
  <c r="B73" i="3"/>
  <c r="C73" i="3"/>
  <c r="D73" i="3"/>
  <c r="A74" i="3"/>
  <c r="B74" i="3"/>
  <c r="C74" i="3"/>
  <c r="D74" i="3"/>
  <c r="A75" i="3"/>
  <c r="B75" i="3"/>
  <c r="C75" i="3"/>
  <c r="D75" i="3"/>
  <c r="A76" i="3"/>
  <c r="B76" i="3"/>
  <c r="C76" i="3"/>
  <c r="D76" i="3"/>
  <c r="A77" i="3"/>
  <c r="B77" i="3"/>
  <c r="C77" i="3"/>
  <c r="D77" i="3"/>
  <c r="A78" i="3"/>
  <c r="B78" i="3"/>
  <c r="C78" i="3"/>
  <c r="D78" i="3"/>
  <c r="A79" i="3"/>
  <c r="B79" i="3"/>
  <c r="C79" i="3"/>
  <c r="D79" i="3"/>
  <c r="A80" i="3"/>
  <c r="B80" i="3"/>
  <c r="C80" i="3"/>
  <c r="D80" i="3"/>
  <c r="A81" i="3"/>
  <c r="B81" i="3"/>
  <c r="C81" i="3"/>
  <c r="D81" i="3"/>
  <c r="A82" i="3"/>
  <c r="B82" i="3"/>
  <c r="C82" i="3"/>
  <c r="D82" i="3"/>
  <c r="A83" i="3"/>
  <c r="B83" i="3"/>
  <c r="C83" i="3"/>
  <c r="D83" i="3"/>
  <c r="A84" i="3"/>
  <c r="B84" i="3"/>
  <c r="C84" i="3"/>
  <c r="D84" i="3"/>
  <c r="A85" i="3"/>
  <c r="B85" i="3"/>
  <c r="C85" i="3"/>
  <c r="D85" i="3"/>
  <c r="A86" i="3"/>
  <c r="B86" i="3"/>
  <c r="C86" i="3"/>
  <c r="D86" i="3"/>
  <c r="A87" i="3"/>
  <c r="B87" i="3"/>
  <c r="C87" i="3"/>
  <c r="D87" i="3"/>
  <c r="A88" i="3"/>
  <c r="B88" i="3"/>
  <c r="C88" i="3"/>
  <c r="D88" i="3"/>
  <c r="A89" i="3"/>
  <c r="B89" i="3"/>
  <c r="C89" i="3"/>
  <c r="D89" i="3"/>
  <c r="A90" i="3"/>
  <c r="B90" i="3"/>
  <c r="C90" i="3"/>
  <c r="D90" i="3"/>
  <c r="A91" i="3"/>
  <c r="B91" i="3"/>
  <c r="C91" i="3"/>
  <c r="D91" i="3"/>
  <c r="A92" i="3"/>
  <c r="B92" i="3"/>
  <c r="C92" i="3"/>
  <c r="D92" i="3"/>
  <c r="A93" i="3"/>
  <c r="B93" i="3"/>
  <c r="C93" i="3"/>
  <c r="D93" i="3"/>
  <c r="A94" i="3"/>
  <c r="B94" i="3"/>
  <c r="C94" i="3"/>
  <c r="D94" i="3"/>
  <c r="A95" i="3"/>
  <c r="B95" i="3"/>
  <c r="C95" i="3"/>
  <c r="D95" i="3"/>
  <c r="A96" i="3"/>
  <c r="B96" i="3"/>
  <c r="C96" i="3"/>
  <c r="D96" i="3"/>
  <c r="A97" i="3"/>
  <c r="B97" i="3"/>
  <c r="C97" i="3"/>
  <c r="D97" i="3"/>
  <c r="A98" i="3"/>
  <c r="B98" i="3"/>
  <c r="C98" i="3"/>
  <c r="D98" i="3"/>
  <c r="A99" i="3"/>
  <c r="B99" i="3"/>
  <c r="C99" i="3"/>
  <c r="D99" i="3"/>
  <c r="A100" i="3"/>
  <c r="B100" i="3"/>
  <c r="C100" i="3"/>
  <c r="D100" i="3"/>
  <c r="A101" i="3"/>
  <c r="B101" i="3"/>
  <c r="C101" i="3"/>
  <c r="D101" i="3"/>
  <c r="A102" i="3"/>
  <c r="B102" i="3"/>
  <c r="C102" i="3"/>
  <c r="D102" i="3"/>
  <c r="A103" i="3"/>
  <c r="B103" i="3"/>
  <c r="C103" i="3"/>
  <c r="D103" i="3"/>
  <c r="A104" i="3"/>
  <c r="B104" i="3"/>
  <c r="C104" i="3"/>
  <c r="D104" i="3"/>
  <c r="A105" i="3"/>
  <c r="B105" i="3"/>
  <c r="C105" i="3"/>
  <c r="D105" i="3"/>
  <c r="A106" i="3"/>
  <c r="B106" i="3"/>
  <c r="C106" i="3"/>
  <c r="D106" i="3"/>
  <c r="A107" i="3"/>
  <c r="B107" i="3"/>
  <c r="C107" i="3"/>
  <c r="D107" i="3"/>
  <c r="A108" i="3"/>
  <c r="B108" i="3"/>
  <c r="C108" i="3"/>
  <c r="D108" i="3"/>
  <c r="A109" i="3"/>
  <c r="B109" i="3"/>
  <c r="C109" i="3"/>
  <c r="D109" i="3"/>
  <c r="A110" i="3"/>
  <c r="B110" i="3"/>
  <c r="C110" i="3"/>
  <c r="D110" i="3"/>
  <c r="A111" i="3"/>
  <c r="B111" i="3"/>
  <c r="C111" i="3"/>
  <c r="D111" i="3"/>
  <c r="A112" i="3"/>
  <c r="B112" i="3"/>
  <c r="C112" i="3"/>
  <c r="D112" i="3"/>
  <c r="A113" i="3"/>
  <c r="B113" i="3"/>
  <c r="C113" i="3"/>
  <c r="D113" i="3"/>
  <c r="A114" i="3"/>
  <c r="B114" i="3"/>
  <c r="C114" i="3"/>
  <c r="D114" i="3"/>
  <c r="A115" i="3"/>
  <c r="B115" i="3"/>
  <c r="C115" i="3"/>
  <c r="D115" i="3"/>
  <c r="A116" i="3"/>
  <c r="B116" i="3"/>
  <c r="C116" i="3"/>
  <c r="D116" i="3"/>
  <c r="A117" i="3"/>
  <c r="B117" i="3"/>
  <c r="C117" i="3"/>
  <c r="D117" i="3"/>
  <c r="A118" i="3"/>
  <c r="B118" i="3"/>
  <c r="C118" i="3"/>
  <c r="D118" i="3"/>
  <c r="A119" i="3"/>
  <c r="B119" i="3"/>
  <c r="C119" i="3"/>
  <c r="D119" i="3"/>
  <c r="A120" i="3"/>
  <c r="B120" i="3"/>
  <c r="C120" i="3"/>
  <c r="D120" i="3"/>
  <c r="A121" i="3"/>
  <c r="B121" i="3"/>
  <c r="C121" i="3"/>
  <c r="D121" i="3"/>
  <c r="A2" i="3"/>
  <c r="D2" i="3"/>
  <c r="C2" i="3"/>
  <c r="B2" i="3"/>
  <c r="D5" i="1"/>
  <c r="C5" i="1"/>
  <c r="B5" i="1"/>
  <c r="B5" i="5" l="1"/>
  <c r="B4" i="5"/>
  <c r="C5" i="5"/>
  <c r="C4" i="5"/>
  <c r="D5" i="5"/>
  <c r="D4" i="5"/>
</calcChain>
</file>

<file path=xl/sharedStrings.xml><?xml version="1.0" encoding="utf-8"?>
<sst xmlns="http://schemas.openxmlformats.org/spreadsheetml/2006/main" count="88" uniqueCount="62">
  <si>
    <t>Asset Class</t>
  </si>
  <si>
    <t>Conservative</t>
  </si>
  <si>
    <t>Balanced</t>
  </si>
  <si>
    <t>Growth</t>
  </si>
  <si>
    <t>US Large-Cap Equities (IVV)</t>
  </si>
  <si>
    <t>International Equities (IXUS)</t>
  </si>
  <si>
    <t>US Treasury Bonds (IEF)</t>
  </si>
  <si>
    <t>Total</t>
  </si>
  <si>
    <t>Rebalancing</t>
  </si>
  <si>
    <t>Monthly</t>
  </si>
  <si>
    <t>Transaction costs and taxes</t>
  </si>
  <si>
    <t>Not included</t>
  </si>
  <si>
    <t>Initial Investment</t>
  </si>
  <si>
    <t>Internal Reference Portfolio</t>
  </si>
  <si>
    <t>Balanced: 45% IVV / 15% IXUS / 40% IEF</t>
  </si>
  <si>
    <t>Date</t>
  </si>
  <si>
    <t>US Equity Adjusted Close</t>
  </si>
  <si>
    <t>International Equity Adjusted Close</t>
  </si>
  <si>
    <t>Treasury Adjusted Close</t>
  </si>
  <si>
    <t>IVV Return</t>
  </si>
  <si>
    <t>IXUS Return</t>
  </si>
  <si>
    <t>IEF Return</t>
  </si>
  <si>
    <t>RF Monthly</t>
  </si>
  <si>
    <t>Conservative Excess</t>
  </si>
  <si>
    <t>Balanced Excess</t>
  </si>
  <si>
    <t>Growth Excess</t>
  </si>
  <si>
    <t>Conservative Return</t>
  </si>
  <si>
    <t>Balanced Return</t>
  </si>
  <si>
    <t>Growth Return</t>
  </si>
  <si>
    <t>Conservative Value</t>
  </si>
  <si>
    <t>Balanced Value</t>
  </si>
  <si>
    <t>Growth Value</t>
  </si>
  <si>
    <t>Conservative Peak</t>
  </si>
  <si>
    <t>Balanced Peak</t>
  </si>
  <si>
    <t>Growth Peak</t>
  </si>
  <si>
    <t>Conservative Drawdown</t>
  </si>
  <si>
    <t>Balanced Drawdown</t>
  </si>
  <si>
    <t>Growth Drawdown</t>
  </si>
  <si>
    <t>Metric</t>
  </si>
  <si>
    <t>Ending Value</t>
  </si>
  <si>
    <t>Total Return</t>
  </si>
  <si>
    <t>Annualized Return (CAGR)</t>
  </si>
  <si>
    <t>Annualized Volatility</t>
  </si>
  <si>
    <t>Maximum Drawdown (Month-End)</t>
  </si>
  <si>
    <t>Months of Data</t>
  </si>
  <si>
    <t>Annualized Sharpe Ratio</t>
  </si>
  <si>
    <t>Asset Correlation</t>
  </si>
  <si>
    <t>IVV</t>
  </si>
  <si>
    <t>IXUS</t>
  </si>
  <si>
    <t>IEF</t>
  </si>
  <si>
    <t>Difference vs Balanced</t>
  </si>
  <si>
    <t>Ending Value Difference ($)</t>
  </si>
  <si>
    <t>CAGR Difference (pp)</t>
  </si>
  <si>
    <t>Volatility Difference (pp)</t>
  </si>
  <si>
    <t>Max Drawdown Magnitude Difference (pp)</t>
  </si>
  <si>
    <t>Sharpe Ratio Difference</t>
  </si>
  <si>
    <t>pp = percentage points. Differences are calculated using unrounded values.</t>
  </si>
  <si>
    <t>Annualized Sharpe ratio = mean monthly excess return / standard deviation of monthly excess returns × √12.</t>
  </si>
  <si>
    <t>Investment Portfolio &amp; Risk Analysis</t>
  </si>
  <si>
    <t>2016–2025 | Monthly Rebalancing | Initial Investment: $10,000</t>
  </si>
  <si>
    <t>Allocations (IVV / IXUS / IEF): Conservative 30%/10%/60%; Balanced 45%/15%/40%; Growth 60%/20%/20%.</t>
  </si>
  <si>
    <t>Historical simulation; monthly rebalancing; excludes trading costs and taxes. Drawdowns use month-end 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</si>
</sst>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&quot;$&quot;#,##0.00"/>
    <numFmt numFmtId="166" formatCode="&quot;$&quot;#,##0"/>
  </numFmts>
  <fonts count="10">
    <font>
      <sz val="11"/>
      <color theme="1"/>
      <name val="宋体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 Light"/>
      <scheme val="major"/>
    </font>
    <font>
      <sz val="11"/>
      <color rgb="FF000000"/>
      <name val="Calibri"/>
      <scheme val="minor"/>
    </font>
    <font>
      <sz val="11"/>
      <color theme="1"/>
      <name val="Calibri Light"/>
      <scheme val="major"/>
    </font>
    <font>
      <b/>
      <sz val="11"/>
      <color theme="1"/>
      <name val="Calibri"/>
      <scheme val="minor"/>
    </font>
    <font>
      <b/>
      <sz val="16"/>
      <color theme="1"/>
      <name val="Calibri Light"/>
      <scheme val="major"/>
    </font>
    <font>
      <sz val="10"/>
      <color theme="1"/>
      <name val="Calibri"/>
      <scheme val="minor"/>
    </font>
    <font>
      <b/>
      <sz val="11"/>
      <color theme="0"/>
      <name val="Calibri Light"/>
      <scheme val="major"/>
    </font>
    <font>
      <b/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2" fontId="3" fillId="0" borderId="0" xfId="0" applyNumberFormat="1" applyFont="1"/>
    <xf numFmtId="2" fontId="2" fillId="0" borderId="0" xfId="0" applyNumberFormat="1" applyFont="1"/>
    <xf numFmtId="2" fontId="0" fillId="0" borderId="0" xfId="0" applyNumberFormat="1"/>
    <xf numFmtId="0" fontId="4" fillId="0" borderId="0" xfId="0" applyFont="1"/>
    <xf numFmtId="164" fontId="2" fillId="0" borderId="0" xfId="0" applyNumberFormat="1" applyFont="1"/>
    <xf numFmtId="164" fontId="0" fillId="0" borderId="0" xfId="0" applyNumberFormat="1"/>
    <xf numFmtId="164" fontId="3" fillId="0" borderId="0" xfId="0" applyNumberFormat="1" applyFont="1"/>
    <xf numFmtId="10" fontId="2" fillId="0" borderId="0" xfId="0" applyNumberFormat="1" applyFont="1"/>
    <xf numFmtId="10" fontId="0" fillId="0" borderId="0" xfId="0" applyNumberFormat="1"/>
    <xf numFmtId="0" fontId="5" fillId="0" borderId="0" xfId="0" applyFont="1"/>
    <xf numFmtId="165" fontId="2" fillId="0" borderId="0" xfId="0" applyNumberFormat="1" applyFont="1"/>
    <xf numFmtId="165" fontId="0" fillId="0" borderId="0" xfId="0" applyNumberFormat="1"/>
    <xf numFmtId="10" fontId="3" fillId="0" borderId="0" xfId="0" applyNumberFormat="1" applyFont="1"/>
    <xf numFmtId="10" fontId="5" fillId="0" borderId="0" xfId="0" applyNumberFormat="1" applyFont="1"/>
    <xf numFmtId="2" fontId="5" fillId="0" borderId="0" xfId="0" applyNumberFormat="1" applyFont="1"/>
    <xf numFmtId="0" fontId="6" fillId="0" borderId="0" xfId="0" applyFont="1"/>
    <xf numFmtId="0" fontId="7" fillId="0" borderId="0" xfId="0" applyFont="1"/>
    <xf numFmtId="0" fontId="8" fillId="2" borderId="0" xfId="0" applyFont="1" applyFill="1"/>
    <xf numFmtId="9" fontId="5" fillId="0" borderId="0" xfId="0" applyNumberFormat="1" applyFont="1"/>
    <xf numFmtId="164" fontId="5" fillId="0" borderId="0" xfId="0" applyNumberFormat="1" applyFont="1"/>
    <xf numFmtId="164" fontId="9" fillId="0" borderId="0" xfId="0" applyNumberFormat="1" applyFont="1"/>
    <xf numFmtId="10" fontId="9" fillId="0" borderId="0" xfId="0" applyNumberFormat="1" applyFont="1"/>
    <xf numFmtId="0" fontId="7" fillId="0" borderId="0" xfId="0" applyFont="1" applyAlignment="1">
      <alignment horizontal="left"/>
    </xf>
    <xf numFmtId="0" fontId="1" fillId="0" borderId="0" xfId="0" applyFont="1"/>
    <xf numFmtId="9" fontId="1" fillId="0" borderId="0" xfId="0" applyNumberFormat="1" applyFont="1"/>
    <xf numFmtId="166" fontId="1" fillId="0" borderId="0" xfId="0" applyNumberFormat="1" applyFont="1"/>
    <xf numFmtId="164" fontId="1" fillId="0" borderId="0" xfId="0" applyNumberFormat="1" applyFont="1"/>
    <xf numFmtId="10" fontId="1" fillId="0" borderId="0" xfId="0" applyNumberFormat="1" applyFont="1"/>
    <xf numFmtId="165" fontId="1" fillId="0" borderId="0" xfId="0" applyNumberFormat="1" applyFont="1"/>
    <xf numFmtId="1" fontId="1" fillId="0" borderId="0" xfId="0" applyNumberFormat="1" applyFont="1"/>
    <xf numFmtId="2" fontId="1" fillId="0" borderId="0" xfId="0" applyNumberFormat="1" applyFont="1"/>
    <xf numFmtId="0" fontId="7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Growth of $10,000 (2016–2025)</a:t>
            </a:r>
          </a:p>
        </c:rich>
      </c:tx>
      <c:layout>
        <c:manualLayout>
          <c:xMode val="edge"/>
          <c:yMode val="edge"/>
          <c:x val="0.23863660767989939"/>
          <c:y val="3.32032332221493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Conservative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Portfolio!$F$2:$F$122</c:f>
              <c:numCache>
                <c:formatCode>yyyy\-mm\-dd;@</c:formatCode>
                <c:ptCount val="121"/>
                <c:pt idx="0">
                  <c:v>42369</c:v>
                </c:pt>
                <c:pt idx="1">
                  <c:v>42398</c:v>
                </c:pt>
                <c:pt idx="2">
                  <c:v>42429</c:v>
                </c:pt>
                <c:pt idx="3">
                  <c:v>42460</c:v>
                </c:pt>
                <c:pt idx="4">
                  <c:v>42489</c:v>
                </c:pt>
                <c:pt idx="5">
                  <c:v>42521</c:v>
                </c:pt>
                <c:pt idx="6">
                  <c:v>42551</c:v>
                </c:pt>
                <c:pt idx="7">
                  <c:v>42580</c:v>
                </c:pt>
                <c:pt idx="8">
                  <c:v>42613</c:v>
                </c:pt>
                <c:pt idx="9">
                  <c:v>42643</c:v>
                </c:pt>
                <c:pt idx="10">
                  <c:v>42674</c:v>
                </c:pt>
                <c:pt idx="11">
                  <c:v>42704</c:v>
                </c:pt>
                <c:pt idx="12">
                  <c:v>42734</c:v>
                </c:pt>
                <c:pt idx="13">
                  <c:v>42766</c:v>
                </c:pt>
                <c:pt idx="14">
                  <c:v>42794</c:v>
                </c:pt>
                <c:pt idx="15">
                  <c:v>42825</c:v>
                </c:pt>
                <c:pt idx="16">
                  <c:v>42853</c:v>
                </c:pt>
                <c:pt idx="17">
                  <c:v>42886</c:v>
                </c:pt>
                <c:pt idx="18">
                  <c:v>42916</c:v>
                </c:pt>
                <c:pt idx="19">
                  <c:v>42947</c:v>
                </c:pt>
                <c:pt idx="20">
                  <c:v>42978</c:v>
                </c:pt>
                <c:pt idx="21">
                  <c:v>43007</c:v>
                </c:pt>
                <c:pt idx="22">
                  <c:v>43039</c:v>
                </c:pt>
                <c:pt idx="23">
                  <c:v>43069</c:v>
                </c:pt>
                <c:pt idx="24">
                  <c:v>43098</c:v>
                </c:pt>
                <c:pt idx="25">
                  <c:v>43131</c:v>
                </c:pt>
                <c:pt idx="26">
                  <c:v>43159</c:v>
                </c:pt>
                <c:pt idx="27">
                  <c:v>43188</c:v>
                </c:pt>
                <c:pt idx="28">
                  <c:v>43220</c:v>
                </c:pt>
                <c:pt idx="29">
                  <c:v>43251</c:v>
                </c:pt>
                <c:pt idx="30">
                  <c:v>43280</c:v>
                </c:pt>
                <c:pt idx="31">
                  <c:v>43312</c:v>
                </c:pt>
                <c:pt idx="32">
                  <c:v>43343</c:v>
                </c:pt>
                <c:pt idx="33">
                  <c:v>43371</c:v>
                </c:pt>
                <c:pt idx="34">
                  <c:v>43404</c:v>
                </c:pt>
                <c:pt idx="35">
                  <c:v>43434</c:v>
                </c:pt>
                <c:pt idx="36">
                  <c:v>43465</c:v>
                </c:pt>
                <c:pt idx="37">
                  <c:v>43496</c:v>
                </c:pt>
                <c:pt idx="38">
                  <c:v>43524</c:v>
                </c:pt>
                <c:pt idx="39">
                  <c:v>43553</c:v>
                </c:pt>
                <c:pt idx="40">
                  <c:v>43585</c:v>
                </c:pt>
                <c:pt idx="41">
                  <c:v>43616</c:v>
                </c:pt>
                <c:pt idx="42">
                  <c:v>43644</c:v>
                </c:pt>
                <c:pt idx="43">
                  <c:v>43677</c:v>
                </c:pt>
                <c:pt idx="44">
                  <c:v>43707</c:v>
                </c:pt>
                <c:pt idx="45">
                  <c:v>43738</c:v>
                </c:pt>
                <c:pt idx="46">
                  <c:v>43769</c:v>
                </c:pt>
                <c:pt idx="47">
                  <c:v>43798</c:v>
                </c:pt>
                <c:pt idx="48">
                  <c:v>43830</c:v>
                </c:pt>
                <c:pt idx="49">
                  <c:v>43861</c:v>
                </c:pt>
                <c:pt idx="50">
                  <c:v>43889</c:v>
                </c:pt>
                <c:pt idx="51">
                  <c:v>43921</c:v>
                </c:pt>
                <c:pt idx="52">
                  <c:v>43951</c:v>
                </c:pt>
                <c:pt idx="53">
                  <c:v>43980</c:v>
                </c:pt>
                <c:pt idx="54">
                  <c:v>44012</c:v>
                </c:pt>
                <c:pt idx="55">
                  <c:v>44043</c:v>
                </c:pt>
                <c:pt idx="56">
                  <c:v>44074</c:v>
                </c:pt>
                <c:pt idx="57">
                  <c:v>44104</c:v>
                </c:pt>
                <c:pt idx="58">
                  <c:v>44134</c:v>
                </c:pt>
                <c:pt idx="59">
                  <c:v>44165</c:v>
                </c:pt>
                <c:pt idx="60">
                  <c:v>44196</c:v>
                </c:pt>
                <c:pt idx="61">
                  <c:v>44225</c:v>
                </c:pt>
                <c:pt idx="62">
                  <c:v>44253</c:v>
                </c:pt>
                <c:pt idx="63">
                  <c:v>44286</c:v>
                </c:pt>
                <c:pt idx="64">
                  <c:v>44316</c:v>
                </c:pt>
                <c:pt idx="65">
                  <c:v>44344</c:v>
                </c:pt>
                <c:pt idx="66">
                  <c:v>44377</c:v>
                </c:pt>
                <c:pt idx="67">
                  <c:v>44407</c:v>
                </c:pt>
                <c:pt idx="68">
                  <c:v>44439</c:v>
                </c:pt>
                <c:pt idx="69">
                  <c:v>44469</c:v>
                </c:pt>
                <c:pt idx="70">
                  <c:v>44498</c:v>
                </c:pt>
                <c:pt idx="71">
                  <c:v>44530</c:v>
                </c:pt>
                <c:pt idx="72">
                  <c:v>44561</c:v>
                </c:pt>
                <c:pt idx="73">
                  <c:v>44592</c:v>
                </c:pt>
                <c:pt idx="74">
                  <c:v>44620</c:v>
                </c:pt>
                <c:pt idx="75">
                  <c:v>44651</c:v>
                </c:pt>
                <c:pt idx="76">
                  <c:v>44680</c:v>
                </c:pt>
                <c:pt idx="77">
                  <c:v>44712</c:v>
                </c:pt>
                <c:pt idx="78">
                  <c:v>44742</c:v>
                </c:pt>
                <c:pt idx="79">
                  <c:v>44771</c:v>
                </c:pt>
                <c:pt idx="80">
                  <c:v>44804</c:v>
                </c:pt>
                <c:pt idx="81">
                  <c:v>44834</c:v>
                </c:pt>
                <c:pt idx="82">
                  <c:v>44865</c:v>
                </c:pt>
                <c:pt idx="83">
                  <c:v>44895</c:v>
                </c:pt>
                <c:pt idx="84">
                  <c:v>44925</c:v>
                </c:pt>
                <c:pt idx="85">
                  <c:v>44957</c:v>
                </c:pt>
                <c:pt idx="86">
                  <c:v>44985</c:v>
                </c:pt>
                <c:pt idx="87">
                  <c:v>45016</c:v>
                </c:pt>
                <c:pt idx="88">
                  <c:v>45044</c:v>
                </c:pt>
                <c:pt idx="89">
                  <c:v>45077</c:v>
                </c:pt>
                <c:pt idx="90">
                  <c:v>45107</c:v>
                </c:pt>
                <c:pt idx="91">
                  <c:v>45138</c:v>
                </c:pt>
                <c:pt idx="92">
                  <c:v>45169</c:v>
                </c:pt>
                <c:pt idx="93">
                  <c:v>45198</c:v>
                </c:pt>
                <c:pt idx="94">
                  <c:v>45230</c:v>
                </c:pt>
                <c:pt idx="95">
                  <c:v>45260</c:v>
                </c:pt>
                <c:pt idx="96">
                  <c:v>45289</c:v>
                </c:pt>
                <c:pt idx="97">
                  <c:v>45322</c:v>
                </c:pt>
                <c:pt idx="98">
                  <c:v>45351</c:v>
                </c:pt>
                <c:pt idx="99">
                  <c:v>45379</c:v>
                </c:pt>
                <c:pt idx="100">
                  <c:v>45412</c:v>
                </c:pt>
                <c:pt idx="101">
                  <c:v>45443</c:v>
                </c:pt>
                <c:pt idx="102">
                  <c:v>45471</c:v>
                </c:pt>
                <c:pt idx="103">
                  <c:v>45504</c:v>
                </c:pt>
                <c:pt idx="104">
                  <c:v>45534</c:v>
                </c:pt>
                <c:pt idx="105">
                  <c:v>45565</c:v>
                </c:pt>
                <c:pt idx="106">
                  <c:v>45596</c:v>
                </c:pt>
                <c:pt idx="107">
                  <c:v>45625</c:v>
                </c:pt>
                <c:pt idx="108">
                  <c:v>45657</c:v>
                </c:pt>
                <c:pt idx="109">
                  <c:v>45688</c:v>
                </c:pt>
                <c:pt idx="110">
                  <c:v>45716</c:v>
                </c:pt>
                <c:pt idx="111">
                  <c:v>45747</c:v>
                </c:pt>
                <c:pt idx="112">
                  <c:v>45777</c:v>
                </c:pt>
                <c:pt idx="113">
                  <c:v>45807</c:v>
                </c:pt>
                <c:pt idx="114">
                  <c:v>45838</c:v>
                </c:pt>
                <c:pt idx="115">
                  <c:v>45869</c:v>
                </c:pt>
                <c:pt idx="116">
                  <c:v>45898</c:v>
                </c:pt>
                <c:pt idx="117">
                  <c:v>45930</c:v>
                </c:pt>
                <c:pt idx="118">
                  <c:v>45961</c:v>
                </c:pt>
                <c:pt idx="119">
                  <c:v>45989</c:v>
                </c:pt>
                <c:pt idx="120">
                  <c:v>46022</c:v>
                </c:pt>
              </c:numCache>
            </c:numRef>
          </c:cat>
          <c:val>
            <c:numRef>
              <c:f>Portfolio!$G$2:$G$122</c:f>
              <c:numCache>
                <c:formatCode>"$"#,##0.00</c:formatCode>
                <c:ptCount val="121"/>
                <c:pt idx="0">
                  <c:v>10000</c:v>
                </c:pt>
                <c:pt idx="1">
                  <c:v>9993.7408154098976</c:v>
                </c:pt>
                <c:pt idx="2">
                  <c:v>10061.894276989129</c:v>
                </c:pt>
                <c:pt idx="3">
                  <c:v>10326.267479308837</c:v>
                </c:pt>
                <c:pt idx="4">
                  <c:v>10354.005415341804</c:v>
                </c:pt>
                <c:pt idx="5">
                  <c:v>10389.560182135881</c:v>
                </c:pt>
                <c:pt idx="6">
                  <c:v>10581.296086506381</c:v>
                </c:pt>
                <c:pt idx="7">
                  <c:v>10759.495670432621</c:v>
                </c:pt>
                <c:pt idx="8">
                  <c:v>10704.673279331144</c:v>
                </c:pt>
                <c:pt idx="9">
                  <c:v>10739.546180866502</c:v>
                </c:pt>
                <c:pt idx="10">
                  <c:v>10566.584478430555</c:v>
                </c:pt>
                <c:pt idx="11">
                  <c:v>10390.778015837222</c:v>
                </c:pt>
                <c:pt idx="12">
                  <c:v>10469.477414518595</c:v>
                </c:pt>
                <c:pt idx="13">
                  <c:v>10581.189138848104</c:v>
                </c:pt>
                <c:pt idx="14">
                  <c:v>10768.609609901503</c:v>
                </c:pt>
                <c:pt idx="15">
                  <c:v>10806.491829498911</c:v>
                </c:pt>
                <c:pt idx="16">
                  <c:v>10935.130871225587</c:v>
                </c:pt>
                <c:pt idx="17">
                  <c:v>11065.945874387498</c:v>
                </c:pt>
                <c:pt idx="18">
                  <c:v>11063.399919795629</c:v>
                </c:pt>
                <c:pt idx="19">
                  <c:v>11196.485586487592</c:v>
                </c:pt>
                <c:pt idx="20">
                  <c:v>11311.323777889336</c:v>
                </c:pt>
                <c:pt idx="21">
                  <c:v>11304.891614503666</c:v>
                </c:pt>
                <c:pt idx="22">
                  <c:v>11393.346038411635</c:v>
                </c:pt>
                <c:pt idx="23">
                  <c:v>11487.56128594957</c:v>
                </c:pt>
                <c:pt idx="24">
                  <c:v>11566.17117219315</c:v>
                </c:pt>
                <c:pt idx="25">
                  <c:v>11678.961483354737</c:v>
                </c:pt>
                <c:pt idx="26">
                  <c:v>11421.556908437646</c:v>
                </c:pt>
                <c:pt idx="27">
                  <c:v>11412.075622470173</c:v>
                </c:pt>
                <c:pt idx="28">
                  <c:v>11341.861652528683</c:v>
                </c:pt>
                <c:pt idx="29">
                  <c:v>11473.265826537972</c:v>
                </c:pt>
                <c:pt idx="30">
                  <c:v>11482.710830759705</c:v>
                </c:pt>
                <c:pt idx="31">
                  <c:v>11602.721483242363</c:v>
                </c:pt>
                <c:pt idx="32">
                  <c:v>11759.858617049007</c:v>
                </c:pt>
                <c:pt idx="33">
                  <c:v>11696.2694880122</c:v>
                </c:pt>
                <c:pt idx="34">
                  <c:v>11338.073797267176</c:v>
                </c:pt>
                <c:pt idx="35">
                  <c:v>11507.439880770267</c:v>
                </c:pt>
                <c:pt idx="36">
                  <c:v>11338.582377509021</c:v>
                </c:pt>
                <c:pt idx="37">
                  <c:v>11740.835701212736</c:v>
                </c:pt>
                <c:pt idx="38">
                  <c:v>11835.817821919032</c:v>
                </c:pt>
                <c:pt idx="39">
                  <c:v>12104.134902938547</c:v>
                </c:pt>
                <c:pt idx="40">
                  <c:v>12244.421559284741</c:v>
                </c:pt>
                <c:pt idx="41">
                  <c:v>12170.501606523198</c:v>
                </c:pt>
                <c:pt idx="42">
                  <c:v>12582.241520631584</c:v>
                </c:pt>
                <c:pt idx="43">
                  <c:v>12620.186266140301</c:v>
                </c:pt>
                <c:pt idx="44">
                  <c:v>12827.728873737597</c:v>
                </c:pt>
                <c:pt idx="45">
                  <c:v>12845.05628511412</c:v>
                </c:pt>
                <c:pt idx="46">
                  <c:v>12983.277564005746</c:v>
                </c:pt>
                <c:pt idx="47">
                  <c:v>13086.641043012572</c:v>
                </c:pt>
                <c:pt idx="48">
                  <c:v>13185.50590737217</c:v>
                </c:pt>
                <c:pt idx="49">
                  <c:v>13417.734793767189</c:v>
                </c:pt>
                <c:pt idx="50">
                  <c:v>13222.017057535064</c:v>
                </c:pt>
                <c:pt idx="51">
                  <c:v>12829.156046831076</c:v>
                </c:pt>
                <c:pt idx="52">
                  <c:v>13429.436842496953</c:v>
                </c:pt>
                <c:pt idx="53">
                  <c:v>13715.165876133411</c:v>
                </c:pt>
                <c:pt idx="54">
                  <c:v>13855.493144320788</c:v>
                </c:pt>
                <c:pt idx="55">
                  <c:v>14228.29191498661</c:v>
                </c:pt>
                <c:pt idx="56">
                  <c:v>14508.181283751326</c:v>
                </c:pt>
                <c:pt idx="57">
                  <c:v>14347.960741445706</c:v>
                </c:pt>
                <c:pt idx="58">
                  <c:v>14090.49407284066</c:v>
                </c:pt>
                <c:pt idx="59">
                  <c:v>14755.178417539928</c:v>
                </c:pt>
                <c:pt idx="60">
                  <c:v>14986.366869665928</c:v>
                </c:pt>
                <c:pt idx="61">
                  <c:v>14844.487708954844</c:v>
                </c:pt>
                <c:pt idx="62">
                  <c:v>14792.364019379855</c:v>
                </c:pt>
                <c:pt idx="63">
                  <c:v>14811.973050464814</c:v>
                </c:pt>
                <c:pt idx="64">
                  <c:v>15178.131209743742</c:v>
                </c:pt>
                <c:pt idx="65">
                  <c:v>15291.875972061374</c:v>
                </c:pt>
                <c:pt idx="66">
                  <c:v>15483.727344234398</c:v>
                </c:pt>
                <c:pt idx="67">
                  <c:v>15763.686042953042</c:v>
                </c:pt>
                <c:pt idx="68">
                  <c:v>15893.463999320655</c:v>
                </c:pt>
                <c:pt idx="69">
                  <c:v>15462.739786074497</c:v>
                </c:pt>
                <c:pt idx="70">
                  <c:v>15791.579496789931</c:v>
                </c:pt>
                <c:pt idx="71">
                  <c:v>15790.939809395903</c:v>
                </c:pt>
                <c:pt idx="72">
                  <c:v>16013.037984140386</c:v>
                </c:pt>
                <c:pt idx="73">
                  <c:v>15509.974779760692</c:v>
                </c:pt>
                <c:pt idx="74">
                  <c:v>15298.868551383383</c:v>
                </c:pt>
                <c:pt idx="75">
                  <c:v>15094.576664436423</c:v>
                </c:pt>
                <c:pt idx="76">
                  <c:v>14212.016438408746</c:v>
                </c:pt>
                <c:pt idx="77">
                  <c:v>14296.988076681673</c:v>
                </c:pt>
                <c:pt idx="78">
                  <c:v>13749.620171961355</c:v>
                </c:pt>
                <c:pt idx="79">
                  <c:v>14429.16644060074</c:v>
                </c:pt>
                <c:pt idx="80">
                  <c:v>13850.336178380157</c:v>
                </c:pt>
                <c:pt idx="81">
                  <c:v>12936.33323752499</c:v>
                </c:pt>
                <c:pt idx="82">
                  <c:v>13187.829840186279</c:v>
                </c:pt>
                <c:pt idx="83">
                  <c:v>13863.493322333961</c:v>
                </c:pt>
                <c:pt idx="84">
                  <c:v>13471.078423419502</c:v>
                </c:pt>
                <c:pt idx="85">
                  <c:v>14132.256937603264</c:v>
                </c:pt>
                <c:pt idx="86">
                  <c:v>13687.395791208241</c:v>
                </c:pt>
                <c:pt idx="87">
                  <c:v>14183.922305815213</c:v>
                </c:pt>
                <c:pt idx="88">
                  <c:v>14348.620326559427</c:v>
                </c:pt>
                <c:pt idx="89">
                  <c:v>14191.673833997629</c:v>
                </c:pt>
                <c:pt idx="90">
                  <c:v>14429.365105670655</c:v>
                </c:pt>
                <c:pt idx="91">
                  <c:v>14570.624335676794</c:v>
                </c:pt>
                <c:pt idx="92">
                  <c:v>14370.225543190771</c:v>
                </c:pt>
                <c:pt idx="93">
                  <c:v>13846.189080298689</c:v>
                </c:pt>
                <c:pt idx="94">
                  <c:v>13545.771445802879</c:v>
                </c:pt>
                <c:pt idx="95">
                  <c:v>14402.024743162749</c:v>
                </c:pt>
                <c:pt idx="96">
                  <c:v>15001.719695066085</c:v>
                </c:pt>
                <c:pt idx="97">
                  <c:v>15053.937862918638</c:v>
                </c:pt>
                <c:pt idx="98">
                  <c:v>15145.434337396091</c:v>
                </c:pt>
                <c:pt idx="99">
                  <c:v>15412.523397679228</c:v>
                </c:pt>
                <c:pt idx="100">
                  <c:v>14898.83479485217</c:v>
                </c:pt>
                <c:pt idx="101">
                  <c:v>15346.390256634844</c:v>
                </c:pt>
                <c:pt idx="102">
                  <c:v>15614.996028868038</c:v>
                </c:pt>
                <c:pt idx="103">
                  <c:v>15976.242290859473</c:v>
                </c:pt>
                <c:pt idx="104">
                  <c:v>16259.906702229588</c:v>
                </c:pt>
                <c:pt idx="105">
                  <c:v>16541.634258291255</c:v>
                </c:pt>
                <c:pt idx="106">
                  <c:v>16082.957690272919</c:v>
                </c:pt>
                <c:pt idx="107">
                  <c:v>16462.112162763009</c:v>
                </c:pt>
                <c:pt idx="108">
                  <c:v>16078.170999878688</c:v>
                </c:pt>
                <c:pt idx="109">
                  <c:v>16323.523228270458</c:v>
                </c:pt>
                <c:pt idx="110">
                  <c:v>16566.32419280188</c:v>
                </c:pt>
                <c:pt idx="111">
                  <c:v>16325.666526403544</c:v>
                </c:pt>
                <c:pt idx="112">
                  <c:v>16444.588107392457</c:v>
                </c:pt>
                <c:pt idx="113">
                  <c:v>16703.901648296523</c:v>
                </c:pt>
                <c:pt idx="114">
                  <c:v>17192.828488332685</c:v>
                </c:pt>
                <c:pt idx="115">
                  <c:v>17233.401112229145</c:v>
                </c:pt>
                <c:pt idx="116">
                  <c:v>17584.36612687802</c:v>
                </c:pt>
                <c:pt idx="117">
                  <c:v>17900.756229253911</c:v>
                </c:pt>
                <c:pt idx="118">
                  <c:v>18134.66479815077</c:v>
                </c:pt>
                <c:pt idx="119">
                  <c:v>18261.978160033032</c:v>
                </c:pt>
                <c:pt idx="120">
                  <c:v>18225.138540544507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C2-4E57-95C5-D33AA5F353FE}"/>
            </c:ext>
          </c:extLst>
        </c:ser>
        <c:ser>
          <c:idx val="1"/>
          <c:order val="1"/>
          <c:tx>
            <c:v>Balanced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Portfolio!$F$2:$F$122</c:f>
              <c:numCache>
                <c:formatCode>yyyy\-mm\-dd;@</c:formatCode>
                <c:ptCount val="121"/>
                <c:pt idx="0">
                  <c:v>42369</c:v>
                </c:pt>
                <c:pt idx="1">
                  <c:v>42398</c:v>
                </c:pt>
                <c:pt idx="2">
                  <c:v>42429</c:v>
                </c:pt>
                <c:pt idx="3">
                  <c:v>42460</c:v>
                </c:pt>
                <c:pt idx="4">
                  <c:v>42489</c:v>
                </c:pt>
                <c:pt idx="5">
                  <c:v>42521</c:v>
                </c:pt>
                <c:pt idx="6">
                  <c:v>42551</c:v>
                </c:pt>
                <c:pt idx="7">
                  <c:v>42580</c:v>
                </c:pt>
                <c:pt idx="8">
                  <c:v>42613</c:v>
                </c:pt>
                <c:pt idx="9">
                  <c:v>42643</c:v>
                </c:pt>
                <c:pt idx="10">
                  <c:v>42674</c:v>
                </c:pt>
                <c:pt idx="11">
                  <c:v>42704</c:v>
                </c:pt>
                <c:pt idx="12">
                  <c:v>42734</c:v>
                </c:pt>
                <c:pt idx="13">
                  <c:v>42766</c:v>
                </c:pt>
                <c:pt idx="14">
                  <c:v>42794</c:v>
                </c:pt>
                <c:pt idx="15">
                  <c:v>42825</c:v>
                </c:pt>
                <c:pt idx="16">
                  <c:v>42853</c:v>
                </c:pt>
                <c:pt idx="17">
                  <c:v>42886</c:v>
                </c:pt>
                <c:pt idx="18">
                  <c:v>42916</c:v>
                </c:pt>
                <c:pt idx="19">
                  <c:v>42947</c:v>
                </c:pt>
                <c:pt idx="20">
                  <c:v>42978</c:v>
                </c:pt>
                <c:pt idx="21">
                  <c:v>43007</c:v>
                </c:pt>
                <c:pt idx="22">
                  <c:v>43039</c:v>
                </c:pt>
                <c:pt idx="23">
                  <c:v>43069</c:v>
                </c:pt>
                <c:pt idx="24">
                  <c:v>43098</c:v>
                </c:pt>
                <c:pt idx="25">
                  <c:v>43131</c:v>
                </c:pt>
                <c:pt idx="26">
                  <c:v>43159</c:v>
                </c:pt>
                <c:pt idx="27">
                  <c:v>43188</c:v>
                </c:pt>
                <c:pt idx="28">
                  <c:v>43220</c:v>
                </c:pt>
                <c:pt idx="29">
                  <c:v>43251</c:v>
                </c:pt>
                <c:pt idx="30">
                  <c:v>43280</c:v>
                </c:pt>
                <c:pt idx="31">
                  <c:v>43312</c:v>
                </c:pt>
                <c:pt idx="32">
                  <c:v>43343</c:v>
                </c:pt>
                <c:pt idx="33">
                  <c:v>43371</c:v>
                </c:pt>
                <c:pt idx="34">
                  <c:v>43404</c:v>
                </c:pt>
                <c:pt idx="35">
                  <c:v>43434</c:v>
                </c:pt>
                <c:pt idx="36">
                  <c:v>43465</c:v>
                </c:pt>
                <c:pt idx="37">
                  <c:v>43496</c:v>
                </c:pt>
                <c:pt idx="38">
                  <c:v>43524</c:v>
                </c:pt>
                <c:pt idx="39">
                  <c:v>43553</c:v>
                </c:pt>
                <c:pt idx="40">
                  <c:v>43585</c:v>
                </c:pt>
                <c:pt idx="41">
                  <c:v>43616</c:v>
                </c:pt>
                <c:pt idx="42">
                  <c:v>43644</c:v>
                </c:pt>
                <c:pt idx="43">
                  <c:v>43677</c:v>
                </c:pt>
                <c:pt idx="44">
                  <c:v>43707</c:v>
                </c:pt>
                <c:pt idx="45">
                  <c:v>43738</c:v>
                </c:pt>
                <c:pt idx="46">
                  <c:v>43769</c:v>
                </c:pt>
                <c:pt idx="47">
                  <c:v>43798</c:v>
                </c:pt>
                <c:pt idx="48">
                  <c:v>43830</c:v>
                </c:pt>
                <c:pt idx="49">
                  <c:v>43861</c:v>
                </c:pt>
                <c:pt idx="50">
                  <c:v>43889</c:v>
                </c:pt>
                <c:pt idx="51">
                  <c:v>43921</c:v>
                </c:pt>
                <c:pt idx="52">
                  <c:v>43951</c:v>
                </c:pt>
                <c:pt idx="53">
                  <c:v>43980</c:v>
                </c:pt>
                <c:pt idx="54">
                  <c:v>44012</c:v>
                </c:pt>
                <c:pt idx="55">
                  <c:v>44043</c:v>
                </c:pt>
                <c:pt idx="56">
                  <c:v>44074</c:v>
                </c:pt>
                <c:pt idx="57">
                  <c:v>44104</c:v>
                </c:pt>
                <c:pt idx="58">
                  <c:v>44134</c:v>
                </c:pt>
                <c:pt idx="59">
                  <c:v>44165</c:v>
                </c:pt>
                <c:pt idx="60">
                  <c:v>44196</c:v>
                </c:pt>
                <c:pt idx="61">
                  <c:v>44225</c:v>
                </c:pt>
                <c:pt idx="62">
                  <c:v>44253</c:v>
                </c:pt>
                <c:pt idx="63">
                  <c:v>44286</c:v>
                </c:pt>
                <c:pt idx="64">
                  <c:v>44316</c:v>
                </c:pt>
                <c:pt idx="65">
                  <c:v>44344</c:v>
                </c:pt>
                <c:pt idx="66">
                  <c:v>44377</c:v>
                </c:pt>
                <c:pt idx="67">
                  <c:v>44407</c:v>
                </c:pt>
                <c:pt idx="68">
                  <c:v>44439</c:v>
                </c:pt>
                <c:pt idx="69">
                  <c:v>44469</c:v>
                </c:pt>
                <c:pt idx="70">
                  <c:v>44498</c:v>
                </c:pt>
                <c:pt idx="71">
                  <c:v>44530</c:v>
                </c:pt>
                <c:pt idx="72">
                  <c:v>44561</c:v>
                </c:pt>
                <c:pt idx="73">
                  <c:v>44592</c:v>
                </c:pt>
                <c:pt idx="74">
                  <c:v>44620</c:v>
                </c:pt>
                <c:pt idx="75">
                  <c:v>44651</c:v>
                </c:pt>
                <c:pt idx="76">
                  <c:v>44680</c:v>
                </c:pt>
                <c:pt idx="77">
                  <c:v>44712</c:v>
                </c:pt>
                <c:pt idx="78">
                  <c:v>44742</c:v>
                </c:pt>
                <c:pt idx="79">
                  <c:v>44771</c:v>
                </c:pt>
                <c:pt idx="80">
                  <c:v>44804</c:v>
                </c:pt>
                <c:pt idx="81">
                  <c:v>44834</c:v>
                </c:pt>
                <c:pt idx="82">
                  <c:v>44865</c:v>
                </c:pt>
                <c:pt idx="83">
                  <c:v>44895</c:v>
                </c:pt>
                <c:pt idx="84">
                  <c:v>44925</c:v>
                </c:pt>
                <c:pt idx="85">
                  <c:v>44957</c:v>
                </c:pt>
                <c:pt idx="86">
                  <c:v>44985</c:v>
                </c:pt>
                <c:pt idx="87">
                  <c:v>45016</c:v>
                </c:pt>
                <c:pt idx="88">
                  <c:v>45044</c:v>
                </c:pt>
                <c:pt idx="89">
                  <c:v>45077</c:v>
                </c:pt>
                <c:pt idx="90">
                  <c:v>45107</c:v>
                </c:pt>
                <c:pt idx="91">
                  <c:v>45138</c:v>
                </c:pt>
                <c:pt idx="92">
                  <c:v>45169</c:v>
                </c:pt>
                <c:pt idx="93">
                  <c:v>45198</c:v>
                </c:pt>
                <c:pt idx="94">
                  <c:v>45230</c:v>
                </c:pt>
                <c:pt idx="95">
                  <c:v>45260</c:v>
                </c:pt>
                <c:pt idx="96">
                  <c:v>45289</c:v>
                </c:pt>
                <c:pt idx="97">
                  <c:v>45322</c:v>
                </c:pt>
                <c:pt idx="98">
                  <c:v>45351</c:v>
                </c:pt>
                <c:pt idx="99">
                  <c:v>45379</c:v>
                </c:pt>
                <c:pt idx="100">
                  <c:v>45412</c:v>
                </c:pt>
                <c:pt idx="101">
                  <c:v>45443</c:v>
                </c:pt>
                <c:pt idx="102">
                  <c:v>45471</c:v>
                </c:pt>
                <c:pt idx="103">
                  <c:v>45504</c:v>
                </c:pt>
                <c:pt idx="104">
                  <c:v>45534</c:v>
                </c:pt>
                <c:pt idx="105">
                  <c:v>45565</c:v>
                </c:pt>
                <c:pt idx="106">
                  <c:v>45596</c:v>
                </c:pt>
                <c:pt idx="107">
                  <c:v>45625</c:v>
                </c:pt>
                <c:pt idx="108">
                  <c:v>45657</c:v>
                </c:pt>
                <c:pt idx="109">
                  <c:v>45688</c:v>
                </c:pt>
                <c:pt idx="110">
                  <c:v>45716</c:v>
                </c:pt>
                <c:pt idx="111">
                  <c:v>45747</c:v>
                </c:pt>
                <c:pt idx="112">
                  <c:v>45777</c:v>
                </c:pt>
                <c:pt idx="113">
                  <c:v>45807</c:v>
                </c:pt>
                <c:pt idx="114">
                  <c:v>45838</c:v>
                </c:pt>
                <c:pt idx="115">
                  <c:v>45869</c:v>
                </c:pt>
                <c:pt idx="116">
                  <c:v>45898</c:v>
                </c:pt>
                <c:pt idx="117">
                  <c:v>45930</c:v>
                </c:pt>
                <c:pt idx="118">
                  <c:v>45961</c:v>
                </c:pt>
                <c:pt idx="119">
                  <c:v>45989</c:v>
                </c:pt>
                <c:pt idx="120">
                  <c:v>46022</c:v>
                </c:pt>
              </c:numCache>
            </c:numRef>
          </c:cat>
          <c:val>
            <c:numRef>
              <c:f>Portfolio!$H$2:$H$122</c:f>
              <c:numCache>
                <c:formatCode>"$"#,##0.00</c:formatCode>
                <c:ptCount val="121"/>
                <c:pt idx="0">
                  <c:v>10000</c:v>
                </c:pt>
                <c:pt idx="1">
                  <c:v>9823.9275559523048</c:v>
                </c:pt>
                <c:pt idx="2">
                  <c:v>9851.426606147912</c:v>
                </c:pt>
                <c:pt idx="3">
                  <c:v>10242.949517175155</c:v>
                </c:pt>
                <c:pt idx="4">
                  <c:v>10292.2202654804</c:v>
                </c:pt>
                <c:pt idx="5">
                  <c:v>10350.339903467258</c:v>
                </c:pt>
                <c:pt idx="6">
                  <c:v>10477.066421240455</c:v>
                </c:pt>
                <c:pt idx="7">
                  <c:v>10728.822620324843</c:v>
                </c:pt>
                <c:pt idx="8">
                  <c:v>10701.078147050393</c:v>
                </c:pt>
                <c:pt idx="9">
                  <c:v>10740.667777669036</c:v>
                </c:pt>
                <c:pt idx="10">
                  <c:v>10561.470849414445</c:v>
                </c:pt>
                <c:pt idx="11">
                  <c:v>10521.114851220827</c:v>
                </c:pt>
                <c:pt idx="12">
                  <c:v>10646.878537297467</c:v>
                </c:pt>
                <c:pt idx="13">
                  <c:v>10805.601525436708</c:v>
                </c:pt>
                <c:pt idx="14">
                  <c:v>11053.600681026397</c:v>
                </c:pt>
                <c:pt idx="15">
                  <c:v>11107.476017897841</c:v>
                </c:pt>
                <c:pt idx="16">
                  <c:v>11244.233518292196</c:v>
                </c:pt>
                <c:pt idx="17">
                  <c:v>11399.519046136815</c:v>
                </c:pt>
                <c:pt idx="18">
                  <c:v>11424.625696492525</c:v>
                </c:pt>
                <c:pt idx="19">
                  <c:v>11609.362549459336</c:v>
                </c:pt>
                <c:pt idx="20">
                  <c:v>11703.365504787662</c:v>
                </c:pt>
                <c:pt idx="21">
                  <c:v>11777.734282358208</c:v>
                </c:pt>
                <c:pt idx="22">
                  <c:v>11927.097207806852</c:v>
                </c:pt>
                <c:pt idx="23">
                  <c:v>12091.693475374788</c:v>
                </c:pt>
                <c:pt idx="24">
                  <c:v>12204.640205884578</c:v>
                </c:pt>
                <c:pt idx="25">
                  <c:v>12514.376853656846</c:v>
                </c:pt>
                <c:pt idx="26">
                  <c:v>12159.019901154579</c:v>
                </c:pt>
                <c:pt idx="27">
                  <c:v>12073.61289993937</c:v>
                </c:pt>
                <c:pt idx="28">
                  <c:v>12039.250607417756</c:v>
                </c:pt>
                <c:pt idx="29">
                  <c:v>12189.112751135972</c:v>
                </c:pt>
                <c:pt idx="30">
                  <c:v>12192.132452101401</c:v>
                </c:pt>
                <c:pt idx="31">
                  <c:v>12415.442538583906</c:v>
                </c:pt>
                <c:pt idx="32">
                  <c:v>12604.710669745928</c:v>
                </c:pt>
                <c:pt idx="33">
                  <c:v>12578.41989280648</c:v>
                </c:pt>
                <c:pt idx="34">
                  <c:v>12019.664777896456</c:v>
                </c:pt>
                <c:pt idx="35">
                  <c:v>12209.048486274669</c:v>
                </c:pt>
                <c:pt idx="36">
                  <c:v>11769.135428847301</c:v>
                </c:pt>
                <c:pt idx="37">
                  <c:v>12357.024498684492</c:v>
                </c:pt>
                <c:pt idx="38">
                  <c:v>12539.44474524784</c:v>
                </c:pt>
                <c:pt idx="39">
                  <c:v>12799.375526234517</c:v>
                </c:pt>
                <c:pt idx="40">
                  <c:v>13055.0764320411</c:v>
                </c:pt>
                <c:pt idx="41">
                  <c:v>12737.859389352658</c:v>
                </c:pt>
                <c:pt idx="42">
                  <c:v>13306.740995918533</c:v>
                </c:pt>
                <c:pt idx="43">
                  <c:v>13364.39135347053</c:v>
                </c:pt>
                <c:pt idx="44">
                  <c:v>13430.007159550249</c:v>
                </c:pt>
                <c:pt idx="45">
                  <c:v>13536.865669265142</c:v>
                </c:pt>
                <c:pt idx="46">
                  <c:v>13742.6438097791</c:v>
                </c:pt>
                <c:pt idx="47">
                  <c:v>13953.974088990783</c:v>
                </c:pt>
                <c:pt idx="48">
                  <c:v>14176.853506349322</c:v>
                </c:pt>
                <c:pt idx="49">
                  <c:v>14305.714113553553</c:v>
                </c:pt>
                <c:pt idx="50">
                  <c:v>13780.865232144286</c:v>
                </c:pt>
                <c:pt idx="51">
                  <c:v>12910.153889961242</c:v>
                </c:pt>
                <c:pt idx="52">
                  <c:v>13798.4926274632</c:v>
                </c:pt>
                <c:pt idx="53">
                  <c:v>14216.273613083385</c:v>
                </c:pt>
                <c:pt idx="54">
                  <c:v>14431.42270462237</c:v>
                </c:pt>
                <c:pt idx="55">
                  <c:v>14952.232612886753</c:v>
                </c:pt>
                <c:pt idx="56">
                  <c:v>15465.932228408621</c:v>
                </c:pt>
                <c:pt idx="57">
                  <c:v>15184.390601690284</c:v>
                </c:pt>
                <c:pt idx="58">
                  <c:v>14880.508550796088</c:v>
                </c:pt>
                <c:pt idx="59">
                  <c:v>15908.25822395867</c:v>
                </c:pt>
                <c:pt idx="60">
                  <c:v>16301.108410321345</c:v>
                </c:pt>
                <c:pt idx="61">
                  <c:v>16158.637015200071</c:v>
                </c:pt>
                <c:pt idx="62">
                  <c:v>16264.470752716166</c:v>
                </c:pt>
                <c:pt idx="63">
                  <c:v>16490.81806587951</c:v>
                </c:pt>
                <c:pt idx="64">
                  <c:v>17019.753317582821</c:v>
                </c:pt>
                <c:pt idx="65">
                  <c:v>17174.919009131459</c:v>
                </c:pt>
                <c:pt idx="66">
                  <c:v>17410.316962239362</c:v>
                </c:pt>
                <c:pt idx="67">
                  <c:v>17709.257303191287</c:v>
                </c:pt>
                <c:pt idx="68">
                  <c:v>17962.87184459767</c:v>
                </c:pt>
                <c:pt idx="69">
                  <c:v>17376.102893414929</c:v>
                </c:pt>
                <c:pt idx="70">
                  <c:v>17968.881742924779</c:v>
                </c:pt>
                <c:pt idx="71">
                  <c:v>17869.667722857408</c:v>
                </c:pt>
                <c:pt idx="72">
                  <c:v>18293.494854370172</c:v>
                </c:pt>
                <c:pt idx="73">
                  <c:v>17624.709835048314</c:v>
                </c:pt>
                <c:pt idx="74">
                  <c:v>17291.673708458009</c:v>
                </c:pt>
                <c:pt idx="75">
                  <c:v>17296.422988861705</c:v>
                </c:pt>
                <c:pt idx="76">
                  <c:v>16145.140929623558</c:v>
                </c:pt>
                <c:pt idx="77">
                  <c:v>16240.013739222817</c:v>
                </c:pt>
                <c:pt idx="78">
                  <c:v>15377.489927500028</c:v>
                </c:pt>
                <c:pt idx="79">
                  <c:v>16289.789740977245</c:v>
                </c:pt>
                <c:pt idx="80">
                  <c:v>15623.477616248962</c:v>
                </c:pt>
                <c:pt idx="81">
                  <c:v>14446.840431427498</c:v>
                </c:pt>
                <c:pt idx="82">
                  <c:v>14973.161667842654</c:v>
                </c:pt>
                <c:pt idx="83">
                  <c:v>15853.427912982519</c:v>
                </c:pt>
                <c:pt idx="84">
                  <c:v>15298.271803005029</c:v>
                </c:pt>
                <c:pt idx="85">
                  <c:v>16150.635555058774</c:v>
                </c:pt>
                <c:pt idx="86">
                  <c:v>15652.165723298514</c:v>
                </c:pt>
                <c:pt idx="87">
                  <c:v>16212.652141090684</c:v>
                </c:pt>
                <c:pt idx="88">
                  <c:v>16428.98655032444</c:v>
                </c:pt>
                <c:pt idx="89">
                  <c:v>16277.586705897773</c:v>
                </c:pt>
                <c:pt idx="90">
                  <c:v>16788.690130430485</c:v>
                </c:pt>
                <c:pt idx="91">
                  <c:v>17089.930113871298</c:v>
                </c:pt>
                <c:pt idx="92">
                  <c:v>16799.812133097468</c:v>
                </c:pt>
                <c:pt idx="93">
                  <c:v>16144.515595674089</c:v>
                </c:pt>
                <c:pt idx="94">
                  <c:v>15774.70222110796</c:v>
                </c:pt>
                <c:pt idx="95">
                  <c:v>16911.195913212232</c:v>
                </c:pt>
                <c:pt idx="96">
                  <c:v>17648.493216520674</c:v>
                </c:pt>
                <c:pt idx="97">
                  <c:v>17734.232902375672</c:v>
                </c:pt>
                <c:pt idx="98">
                  <c:v>18080.581121264262</c:v>
                </c:pt>
                <c:pt idx="99">
                  <c:v>18492.575304094185</c:v>
                </c:pt>
                <c:pt idx="100">
                  <c:v>17857.444345766369</c:v>
                </c:pt>
                <c:pt idx="101">
                  <c:v>18501.360522607734</c:v>
                </c:pt>
                <c:pt idx="102">
                  <c:v>18874.519393602961</c:v>
                </c:pt>
                <c:pt idx="103">
                  <c:v>19256.082456896995</c:v>
                </c:pt>
                <c:pt idx="104">
                  <c:v>19639.358749674248</c:v>
                </c:pt>
                <c:pt idx="105">
                  <c:v>20014.026909701126</c:v>
                </c:pt>
                <c:pt idx="106">
                  <c:v>19520.559015475657</c:v>
                </c:pt>
                <c:pt idx="107">
                  <c:v>20111.208832255961</c:v>
                </c:pt>
                <c:pt idx="108">
                  <c:v>19634.730415908427</c:v>
                </c:pt>
                <c:pt idx="109">
                  <c:v>20023.638972663215</c:v>
                </c:pt>
                <c:pt idx="110">
                  <c:v>20190.09373499572</c:v>
                </c:pt>
                <c:pt idx="111">
                  <c:v>19715.625637157824</c:v>
                </c:pt>
                <c:pt idx="112">
                  <c:v>19826.936606290608</c:v>
                </c:pt>
                <c:pt idx="113">
                  <c:v>20418.798322737821</c:v>
                </c:pt>
                <c:pt idx="114">
                  <c:v>21151.74264343398</c:v>
                </c:pt>
                <c:pt idx="115">
                  <c:v>21289.431096339624</c:v>
                </c:pt>
                <c:pt idx="116">
                  <c:v>21764.338881794603</c:v>
                </c:pt>
                <c:pt idx="117">
                  <c:v>22280.883253705946</c:v>
                </c:pt>
                <c:pt idx="118">
                  <c:v>22638.358654710879</c:v>
                </c:pt>
                <c:pt idx="119">
                  <c:v>22764.907138220144</c:v>
                </c:pt>
                <c:pt idx="120">
                  <c:v>22782.665032193676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C2-4E57-95C5-D33AA5F353FE}"/>
            </c:ext>
          </c:extLst>
        </c:ser>
        <c:ser>
          <c:idx val="2"/>
          <c:order val="2"/>
          <c:tx>
            <c:v>Growth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Portfolio!$F$2:$F$122</c:f>
              <c:numCache>
                <c:formatCode>yyyy\-mm\-dd;@</c:formatCode>
                <c:ptCount val="121"/>
                <c:pt idx="0">
                  <c:v>42369</c:v>
                </c:pt>
                <c:pt idx="1">
                  <c:v>42398</c:v>
                </c:pt>
                <c:pt idx="2">
                  <c:v>42429</c:v>
                </c:pt>
                <c:pt idx="3">
                  <c:v>42460</c:v>
                </c:pt>
                <c:pt idx="4">
                  <c:v>42489</c:v>
                </c:pt>
                <c:pt idx="5">
                  <c:v>42521</c:v>
                </c:pt>
                <c:pt idx="6">
                  <c:v>42551</c:v>
                </c:pt>
                <c:pt idx="7">
                  <c:v>42580</c:v>
                </c:pt>
                <c:pt idx="8">
                  <c:v>42613</c:v>
                </c:pt>
                <c:pt idx="9">
                  <c:v>42643</c:v>
                </c:pt>
                <c:pt idx="10">
                  <c:v>42674</c:v>
                </c:pt>
                <c:pt idx="11">
                  <c:v>42704</c:v>
                </c:pt>
                <c:pt idx="12">
                  <c:v>42734</c:v>
                </c:pt>
                <c:pt idx="13">
                  <c:v>42766</c:v>
                </c:pt>
                <c:pt idx="14">
                  <c:v>42794</c:v>
                </c:pt>
                <c:pt idx="15">
                  <c:v>42825</c:v>
                </c:pt>
                <c:pt idx="16">
                  <c:v>42853</c:v>
                </c:pt>
                <c:pt idx="17">
                  <c:v>42886</c:v>
                </c:pt>
                <c:pt idx="18">
                  <c:v>42916</c:v>
                </c:pt>
                <c:pt idx="19">
                  <c:v>42947</c:v>
                </c:pt>
                <c:pt idx="20">
                  <c:v>42978</c:v>
                </c:pt>
                <c:pt idx="21">
                  <c:v>43007</c:v>
                </c:pt>
                <c:pt idx="22">
                  <c:v>43039</c:v>
                </c:pt>
                <c:pt idx="23">
                  <c:v>43069</c:v>
                </c:pt>
                <c:pt idx="24">
                  <c:v>43098</c:v>
                </c:pt>
                <c:pt idx="25">
                  <c:v>43131</c:v>
                </c:pt>
                <c:pt idx="26">
                  <c:v>43159</c:v>
                </c:pt>
                <c:pt idx="27">
                  <c:v>43188</c:v>
                </c:pt>
                <c:pt idx="28">
                  <c:v>43220</c:v>
                </c:pt>
                <c:pt idx="29">
                  <c:v>43251</c:v>
                </c:pt>
                <c:pt idx="30">
                  <c:v>43280</c:v>
                </c:pt>
                <c:pt idx="31">
                  <c:v>43312</c:v>
                </c:pt>
                <c:pt idx="32">
                  <c:v>43343</c:v>
                </c:pt>
                <c:pt idx="33">
                  <c:v>43371</c:v>
                </c:pt>
                <c:pt idx="34">
                  <c:v>43404</c:v>
                </c:pt>
                <c:pt idx="35">
                  <c:v>43434</c:v>
                </c:pt>
                <c:pt idx="36">
                  <c:v>43465</c:v>
                </c:pt>
                <c:pt idx="37">
                  <c:v>43496</c:v>
                </c:pt>
                <c:pt idx="38">
                  <c:v>43524</c:v>
                </c:pt>
                <c:pt idx="39">
                  <c:v>43553</c:v>
                </c:pt>
                <c:pt idx="40">
                  <c:v>43585</c:v>
                </c:pt>
                <c:pt idx="41">
                  <c:v>43616</c:v>
                </c:pt>
                <c:pt idx="42">
                  <c:v>43644</c:v>
                </c:pt>
                <c:pt idx="43">
                  <c:v>43677</c:v>
                </c:pt>
                <c:pt idx="44">
                  <c:v>43707</c:v>
                </c:pt>
                <c:pt idx="45">
                  <c:v>43738</c:v>
                </c:pt>
                <c:pt idx="46">
                  <c:v>43769</c:v>
                </c:pt>
                <c:pt idx="47">
                  <c:v>43798</c:v>
                </c:pt>
                <c:pt idx="48">
                  <c:v>43830</c:v>
                </c:pt>
                <c:pt idx="49">
                  <c:v>43861</c:v>
                </c:pt>
                <c:pt idx="50">
                  <c:v>43889</c:v>
                </c:pt>
                <c:pt idx="51">
                  <c:v>43921</c:v>
                </c:pt>
                <c:pt idx="52">
                  <c:v>43951</c:v>
                </c:pt>
                <c:pt idx="53">
                  <c:v>43980</c:v>
                </c:pt>
                <c:pt idx="54">
                  <c:v>44012</c:v>
                </c:pt>
                <c:pt idx="55">
                  <c:v>44043</c:v>
                </c:pt>
                <c:pt idx="56">
                  <c:v>44074</c:v>
                </c:pt>
                <c:pt idx="57">
                  <c:v>44104</c:v>
                </c:pt>
                <c:pt idx="58">
                  <c:v>44134</c:v>
                </c:pt>
                <c:pt idx="59">
                  <c:v>44165</c:v>
                </c:pt>
                <c:pt idx="60">
                  <c:v>44196</c:v>
                </c:pt>
                <c:pt idx="61">
                  <c:v>44225</c:v>
                </c:pt>
                <c:pt idx="62">
                  <c:v>44253</c:v>
                </c:pt>
                <c:pt idx="63">
                  <c:v>44286</c:v>
                </c:pt>
                <c:pt idx="64">
                  <c:v>44316</c:v>
                </c:pt>
                <c:pt idx="65">
                  <c:v>44344</c:v>
                </c:pt>
                <c:pt idx="66">
                  <c:v>44377</c:v>
                </c:pt>
                <c:pt idx="67">
                  <c:v>44407</c:v>
                </c:pt>
                <c:pt idx="68">
                  <c:v>44439</c:v>
                </c:pt>
                <c:pt idx="69">
                  <c:v>44469</c:v>
                </c:pt>
                <c:pt idx="70">
                  <c:v>44498</c:v>
                </c:pt>
                <c:pt idx="71">
                  <c:v>44530</c:v>
                </c:pt>
                <c:pt idx="72">
                  <c:v>44561</c:v>
                </c:pt>
                <c:pt idx="73">
                  <c:v>44592</c:v>
                </c:pt>
                <c:pt idx="74">
                  <c:v>44620</c:v>
                </c:pt>
                <c:pt idx="75">
                  <c:v>44651</c:v>
                </c:pt>
                <c:pt idx="76">
                  <c:v>44680</c:v>
                </c:pt>
                <c:pt idx="77">
                  <c:v>44712</c:v>
                </c:pt>
                <c:pt idx="78">
                  <c:v>44742</c:v>
                </c:pt>
                <c:pt idx="79">
                  <c:v>44771</c:v>
                </c:pt>
                <c:pt idx="80">
                  <c:v>44804</c:v>
                </c:pt>
                <c:pt idx="81">
                  <c:v>44834</c:v>
                </c:pt>
                <c:pt idx="82">
                  <c:v>44865</c:v>
                </c:pt>
                <c:pt idx="83">
                  <c:v>44895</c:v>
                </c:pt>
                <c:pt idx="84">
                  <c:v>44925</c:v>
                </c:pt>
                <c:pt idx="85">
                  <c:v>44957</c:v>
                </c:pt>
                <c:pt idx="86">
                  <c:v>44985</c:v>
                </c:pt>
                <c:pt idx="87">
                  <c:v>45016</c:v>
                </c:pt>
                <c:pt idx="88">
                  <c:v>45044</c:v>
                </c:pt>
                <c:pt idx="89">
                  <c:v>45077</c:v>
                </c:pt>
                <c:pt idx="90">
                  <c:v>45107</c:v>
                </c:pt>
                <c:pt idx="91">
                  <c:v>45138</c:v>
                </c:pt>
                <c:pt idx="92">
                  <c:v>45169</c:v>
                </c:pt>
                <c:pt idx="93">
                  <c:v>45198</c:v>
                </c:pt>
                <c:pt idx="94">
                  <c:v>45230</c:v>
                </c:pt>
                <c:pt idx="95">
                  <c:v>45260</c:v>
                </c:pt>
                <c:pt idx="96">
                  <c:v>45289</c:v>
                </c:pt>
                <c:pt idx="97">
                  <c:v>45322</c:v>
                </c:pt>
                <c:pt idx="98">
                  <c:v>45351</c:v>
                </c:pt>
                <c:pt idx="99">
                  <c:v>45379</c:v>
                </c:pt>
                <c:pt idx="100">
                  <c:v>45412</c:v>
                </c:pt>
                <c:pt idx="101">
                  <c:v>45443</c:v>
                </c:pt>
                <c:pt idx="102">
                  <c:v>45471</c:v>
                </c:pt>
                <c:pt idx="103">
                  <c:v>45504</c:v>
                </c:pt>
                <c:pt idx="104">
                  <c:v>45534</c:v>
                </c:pt>
                <c:pt idx="105">
                  <c:v>45565</c:v>
                </c:pt>
                <c:pt idx="106">
                  <c:v>45596</c:v>
                </c:pt>
                <c:pt idx="107">
                  <c:v>45625</c:v>
                </c:pt>
                <c:pt idx="108">
                  <c:v>45657</c:v>
                </c:pt>
                <c:pt idx="109">
                  <c:v>45688</c:v>
                </c:pt>
                <c:pt idx="110">
                  <c:v>45716</c:v>
                </c:pt>
                <c:pt idx="111">
                  <c:v>45747</c:v>
                </c:pt>
                <c:pt idx="112">
                  <c:v>45777</c:v>
                </c:pt>
                <c:pt idx="113">
                  <c:v>45807</c:v>
                </c:pt>
                <c:pt idx="114">
                  <c:v>45838</c:v>
                </c:pt>
                <c:pt idx="115">
                  <c:v>45869</c:v>
                </c:pt>
                <c:pt idx="116">
                  <c:v>45898</c:v>
                </c:pt>
                <c:pt idx="117">
                  <c:v>45930</c:v>
                </c:pt>
                <c:pt idx="118">
                  <c:v>45961</c:v>
                </c:pt>
                <c:pt idx="119">
                  <c:v>45989</c:v>
                </c:pt>
                <c:pt idx="120">
                  <c:v>46022</c:v>
                </c:pt>
              </c:numCache>
            </c:numRef>
          </c:cat>
          <c:val>
            <c:numRef>
              <c:f>Portfolio!$I$2:$I$122</c:f>
              <c:numCache>
                <c:formatCode>"$"#,##0.00</c:formatCode>
                <c:ptCount val="121"/>
                <c:pt idx="0">
                  <c:v>10000</c:v>
                </c:pt>
                <c:pt idx="1">
                  <c:v>9654.1142964947139</c:v>
                </c:pt>
                <c:pt idx="2">
                  <c:v>9642.3243777852967</c:v>
                </c:pt>
                <c:pt idx="3">
                  <c:v>10155.400468080968</c:v>
                </c:pt>
                <c:pt idx="4">
                  <c:v>10225.820744825165</c:v>
                </c:pt>
                <c:pt idx="5">
                  <c:v>10306.195519822513</c:v>
                </c:pt>
                <c:pt idx="6">
                  <c:v>10368.370136627947</c:v>
                </c:pt>
                <c:pt idx="7">
                  <c:v>10692.04505279749</c:v>
                </c:pt>
                <c:pt idx="8">
                  <c:v>10691.225030929674</c:v>
                </c:pt>
                <c:pt idx="9">
                  <c:v>10735.502296318482</c:v>
                </c:pt>
                <c:pt idx="10">
                  <c:v>10550.177376413865</c:v>
                </c:pt>
                <c:pt idx="11">
                  <c:v>10645.085167873562</c:v>
                </c:pt>
                <c:pt idx="12">
                  <c:v>10818.950775152956</c:v>
                </c:pt>
                <c:pt idx="13">
                  <c:v>11026.08655017871</c:v>
                </c:pt>
                <c:pt idx="14">
                  <c:v>11336.904791437939</c:v>
                </c:pt>
                <c:pt idx="15">
                  <c:v>11407.535728371548</c:v>
                </c:pt>
                <c:pt idx="16">
                  <c:v>11552.645732966806</c:v>
                </c:pt>
                <c:pt idx="17">
                  <c:v>11733.533057757528</c:v>
                </c:pt>
                <c:pt idx="18">
                  <c:v>11787.917190999586</c:v>
                </c:pt>
                <c:pt idx="19">
                  <c:v>12027.338636749972</c:v>
                </c:pt>
                <c:pt idx="20">
                  <c:v>12098.75344999896</c:v>
                </c:pt>
                <c:pt idx="21">
                  <c:v>12259.395906882472</c:v>
                </c:pt>
                <c:pt idx="22">
                  <c:v>12474.415551447957</c:v>
                </c:pt>
                <c:pt idx="23">
                  <c:v>12715.559326859502</c:v>
                </c:pt>
                <c:pt idx="24">
                  <c:v>12866.094535468003</c:v>
                </c:pt>
                <c:pt idx="25">
                  <c:v>13393.674569266215</c:v>
                </c:pt>
                <c:pt idx="26">
                  <c:v>12928.220660110908</c:v>
                </c:pt>
                <c:pt idx="27">
                  <c:v>12757.332667358189</c:v>
                </c:pt>
                <c:pt idx="28">
                  <c:v>12763.207062281905</c:v>
                </c:pt>
                <c:pt idx="29">
                  <c:v>12933.083123526052</c:v>
                </c:pt>
                <c:pt idx="30">
                  <c:v>12928.844391487499</c:v>
                </c:pt>
                <c:pt idx="31">
                  <c:v>13267.326869898588</c:v>
                </c:pt>
                <c:pt idx="32">
                  <c:v>13492.155263068276</c:v>
                </c:pt>
                <c:pt idx="33">
                  <c:v>13508.827846827469</c:v>
                </c:pt>
                <c:pt idx="34">
                  <c:v>12722.361857054435</c:v>
                </c:pt>
                <c:pt idx="35">
                  <c:v>12933.228556155338</c:v>
                </c:pt>
                <c:pt idx="36">
                  <c:v>12190.994724955965</c:v>
                </c:pt>
                <c:pt idx="37">
                  <c:v>12976.424157914671</c:v>
                </c:pt>
                <c:pt idx="38">
                  <c:v>13254.57449232523</c:v>
                </c:pt>
                <c:pt idx="39">
                  <c:v>13503.603789534007</c:v>
                </c:pt>
                <c:pt idx="40">
                  <c:v>13886.636723548558</c:v>
                </c:pt>
                <c:pt idx="41">
                  <c:v>13295.625579976622</c:v>
                </c:pt>
                <c:pt idx="42">
                  <c:v>14033.405287330572</c:v>
                </c:pt>
                <c:pt idx="43">
                  <c:v>14112.681353207172</c:v>
                </c:pt>
                <c:pt idx="44">
                  <c:v>14019.173677104014</c:v>
                </c:pt>
                <c:pt idx="45">
                  <c:v>14223.329547949636</c:v>
                </c:pt>
                <c:pt idx="46">
                  <c:v>14502.703726019248</c:v>
                </c:pt>
                <c:pt idx="47">
                  <c:v>14833.28018128264</c:v>
                </c:pt>
                <c:pt idx="48">
                  <c:v>15195.068299860326</c:v>
                </c:pt>
                <c:pt idx="49">
                  <c:v>15203.677478410877</c:v>
                </c:pt>
                <c:pt idx="50">
                  <c:v>14309.859032262666</c:v>
                </c:pt>
                <c:pt idx="51">
                  <c:v>12926.773572111373</c:v>
                </c:pt>
                <c:pt idx="52">
                  <c:v>14100.889870169864</c:v>
                </c:pt>
                <c:pt idx="53">
                  <c:v>14654.748295417832</c:v>
                </c:pt>
                <c:pt idx="54">
                  <c:v>14948.377587304642</c:v>
                </c:pt>
                <c:pt idx="55">
                  <c:v>15625.105618546513</c:v>
                </c:pt>
                <c:pt idx="56">
                  <c:v>16391.372817129159</c:v>
                </c:pt>
                <c:pt idx="57">
                  <c:v>15975.613642713932</c:v>
                </c:pt>
                <c:pt idx="58">
                  <c:v>15622.854427213946</c:v>
                </c:pt>
                <c:pt idx="59">
                  <c:v>17043.927068974295</c:v>
                </c:pt>
                <c:pt idx="60">
                  <c:v>17618.668283505085</c:v>
                </c:pt>
                <c:pt idx="61">
                  <c:v>17477.494318697321</c:v>
                </c:pt>
                <c:pt idx="62">
                  <c:v>17767.806961770209</c:v>
                </c:pt>
                <c:pt idx="63">
                  <c:v>18238.791130281017</c:v>
                </c:pt>
                <c:pt idx="64">
                  <c:v>18957.921932165023</c:v>
                </c:pt>
                <c:pt idx="65">
                  <c:v>19161.522631640713</c:v>
                </c:pt>
                <c:pt idx="66">
                  <c:v>19446.37514071328</c:v>
                </c:pt>
                <c:pt idx="67">
                  <c:v>19762.568601973802</c:v>
                </c:pt>
                <c:pt idx="68">
                  <c:v>20165.909066721462</c:v>
                </c:pt>
                <c:pt idx="69">
                  <c:v>19394.954385032259</c:v>
                </c:pt>
                <c:pt idx="70">
                  <c:v>20305.792220724328</c:v>
                </c:pt>
                <c:pt idx="71">
                  <c:v>20082.380529751521</c:v>
                </c:pt>
                <c:pt idx="72">
                  <c:v>20752.538729148459</c:v>
                </c:pt>
                <c:pt idx="73">
                  <c:v>19887.12881482959</c:v>
                </c:pt>
                <c:pt idx="74">
                  <c:v>19406.238984932712</c:v>
                </c:pt>
                <c:pt idx="75">
                  <c:v>19676.038347090835</c:v>
                </c:pt>
                <c:pt idx="76">
                  <c:v>18207.123307143771</c:v>
                </c:pt>
                <c:pt idx="77">
                  <c:v>18312.244537357401</c:v>
                </c:pt>
                <c:pt idx="78">
                  <c:v>17068.174466653796</c:v>
                </c:pt>
                <c:pt idx="79">
                  <c:v>18249.821574337999</c:v>
                </c:pt>
                <c:pt idx="80">
                  <c:v>17488.949316902279</c:v>
                </c:pt>
                <c:pt idx="81">
                  <c:v>16008.809779473522</c:v>
                </c:pt>
                <c:pt idx="82">
                  <c:v>16864.033338424</c:v>
                </c:pt>
                <c:pt idx="83">
                  <c:v>17982.88342949975</c:v>
                </c:pt>
                <c:pt idx="84">
                  <c:v>17232.449282860027</c:v>
                </c:pt>
                <c:pt idx="85">
                  <c:v>18306.915759220381</c:v>
                </c:pt>
                <c:pt idx="86">
                  <c:v>17753.146952963823</c:v>
                </c:pt>
                <c:pt idx="87">
                  <c:v>18380.570869780408</c:v>
                </c:pt>
                <c:pt idx="88">
                  <c:v>18657.667350338455</c:v>
                </c:pt>
                <c:pt idx="89">
                  <c:v>18517.870481841925</c:v>
                </c:pt>
                <c:pt idx="90">
                  <c:v>19370.614436492546</c:v>
                </c:pt>
                <c:pt idx="91">
                  <c:v>19876.116893796112</c:v>
                </c:pt>
                <c:pt idx="92">
                  <c:v>19474.653045366798</c:v>
                </c:pt>
                <c:pt idx="93">
                  <c:v>18665.568019272763</c:v>
                </c:pt>
                <c:pt idx="94">
                  <c:v>18215.427208898396</c:v>
                </c:pt>
                <c:pt idx="95">
                  <c:v>19688.669402083029</c:v>
                </c:pt>
                <c:pt idx="96">
                  <c:v>20585.620698616847</c:v>
                </c:pt>
                <c:pt idx="97">
                  <c:v>20713.983623086653</c:v>
                </c:pt>
                <c:pt idx="98">
                  <c:v>21397.170949132418</c:v>
                </c:pt>
                <c:pt idx="99">
                  <c:v>21994.968480518801</c:v>
                </c:pt>
                <c:pt idx="100">
                  <c:v>21217.202750217457</c:v>
                </c:pt>
                <c:pt idx="101">
                  <c:v>22109.9752375848</c:v>
                </c:pt>
                <c:pt idx="102">
                  <c:v>22614.871327140703</c:v>
                </c:pt>
                <c:pt idx="103">
                  <c:v>23006.040303765545</c:v>
                </c:pt>
                <c:pt idx="104">
                  <c:v>23513.391252200399</c:v>
                </c:pt>
                <c:pt idx="105">
                  <c:v>24003.135426959434</c:v>
                </c:pt>
                <c:pt idx="106">
                  <c:v>23485.061546704284</c:v>
                </c:pt>
                <c:pt idx="107">
                  <c:v>24352.617198851749</c:v>
                </c:pt>
                <c:pt idx="108">
                  <c:v>23766.65309883028</c:v>
                </c:pt>
                <c:pt idx="109">
                  <c:v>24345.475501021832</c:v>
                </c:pt>
                <c:pt idx="110">
                  <c:v>24388.117244192712</c:v>
                </c:pt>
                <c:pt idx="111">
                  <c:v>23596.157799757668</c:v>
                </c:pt>
                <c:pt idx="112">
                  <c:v>23690.715091994047</c:v>
                </c:pt>
                <c:pt idx="113">
                  <c:v>24731.539678260062</c:v>
                </c:pt>
                <c:pt idx="114">
                  <c:v>25783.147348765317</c:v>
                </c:pt>
                <c:pt idx="115">
                  <c:v>26057.976479400251</c:v>
                </c:pt>
                <c:pt idx="116">
                  <c:v>26689.85695117688</c:v>
                </c:pt>
                <c:pt idx="117">
                  <c:v>27476.523054178819</c:v>
                </c:pt>
                <c:pt idx="118">
                  <c:v>27999.157184331885</c:v>
                </c:pt>
                <c:pt idx="119">
                  <c:v>28115.621448424048</c:v>
                </c:pt>
                <c:pt idx="120">
                  <c:v>28216.202174933136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C2-4E57-95C5-D33AA5F35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907592"/>
        <c:axId val="121061384"/>
      </c:lineChart>
      <c:dateAx>
        <c:axId val="107907592"/>
        <c:scaling>
          <c:orientation val="minMax"/>
          <c:min val="42339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61384"/>
        <c:crosses val="autoZero"/>
        <c:auto val="1"/>
        <c:lblOffset val="100"/>
        <c:baseTimeUnit val="months"/>
        <c:majorUnit val="12"/>
      </c:dateAx>
      <c:valAx>
        <c:axId val="121061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07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Portfolio Drawdowns (2016–2025)</a:t>
            </a:r>
          </a:p>
        </c:rich>
      </c:tx>
      <c:layout>
        <c:manualLayout>
          <c:xMode val="edge"/>
          <c:yMode val="edge"/>
          <c:x val="0.24040252915162949"/>
          <c:y val="3.27015124899752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Dashboard!$L$1</c:f>
              <c:strCache>
                <c:ptCount val="1"/>
                <c:pt idx="0">
                  <c:v>Conservative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Dashboard!$K$2:$K$122</c:f>
              <c:numCache>
                <c:formatCode>yyyy\-mm\-dd;@</c:formatCode>
                <c:ptCount val="121"/>
                <c:pt idx="0">
                  <c:v>42369</c:v>
                </c:pt>
                <c:pt idx="1">
                  <c:v>42398</c:v>
                </c:pt>
                <c:pt idx="2">
                  <c:v>42429</c:v>
                </c:pt>
                <c:pt idx="3">
                  <c:v>42460</c:v>
                </c:pt>
                <c:pt idx="4">
                  <c:v>42489</c:v>
                </c:pt>
                <c:pt idx="5">
                  <c:v>42521</c:v>
                </c:pt>
                <c:pt idx="6">
                  <c:v>42551</c:v>
                </c:pt>
                <c:pt idx="7">
                  <c:v>42580</c:v>
                </c:pt>
                <c:pt idx="8">
                  <c:v>42613</c:v>
                </c:pt>
                <c:pt idx="9">
                  <c:v>42643</c:v>
                </c:pt>
                <c:pt idx="10">
                  <c:v>42674</c:v>
                </c:pt>
                <c:pt idx="11">
                  <c:v>42704</c:v>
                </c:pt>
                <c:pt idx="12">
                  <c:v>42734</c:v>
                </c:pt>
                <c:pt idx="13">
                  <c:v>42766</c:v>
                </c:pt>
                <c:pt idx="14">
                  <c:v>42794</c:v>
                </c:pt>
                <c:pt idx="15">
                  <c:v>42825</c:v>
                </c:pt>
                <c:pt idx="16">
                  <c:v>42853</c:v>
                </c:pt>
                <c:pt idx="17">
                  <c:v>42886</c:v>
                </c:pt>
                <c:pt idx="18">
                  <c:v>42916</c:v>
                </c:pt>
                <c:pt idx="19">
                  <c:v>42947</c:v>
                </c:pt>
                <c:pt idx="20">
                  <c:v>42978</c:v>
                </c:pt>
                <c:pt idx="21">
                  <c:v>43007</c:v>
                </c:pt>
                <c:pt idx="22">
                  <c:v>43039</c:v>
                </c:pt>
                <c:pt idx="23">
                  <c:v>43069</c:v>
                </c:pt>
                <c:pt idx="24">
                  <c:v>43098</c:v>
                </c:pt>
                <c:pt idx="25">
                  <c:v>43131</c:v>
                </c:pt>
                <c:pt idx="26">
                  <c:v>43159</c:v>
                </c:pt>
                <c:pt idx="27">
                  <c:v>43188</c:v>
                </c:pt>
                <c:pt idx="28">
                  <c:v>43220</c:v>
                </c:pt>
                <c:pt idx="29">
                  <c:v>43251</c:v>
                </c:pt>
                <c:pt idx="30">
                  <c:v>43280</c:v>
                </c:pt>
                <c:pt idx="31">
                  <c:v>43312</c:v>
                </c:pt>
                <c:pt idx="32">
                  <c:v>43343</c:v>
                </c:pt>
                <c:pt idx="33">
                  <c:v>43371</c:v>
                </c:pt>
                <c:pt idx="34">
                  <c:v>43404</c:v>
                </c:pt>
                <c:pt idx="35">
                  <c:v>43434</c:v>
                </c:pt>
                <c:pt idx="36">
                  <c:v>43465</c:v>
                </c:pt>
                <c:pt idx="37">
                  <c:v>43496</c:v>
                </c:pt>
                <c:pt idx="38">
                  <c:v>43524</c:v>
                </c:pt>
                <c:pt idx="39">
                  <c:v>43553</c:v>
                </c:pt>
                <c:pt idx="40">
                  <c:v>43585</c:v>
                </c:pt>
                <c:pt idx="41">
                  <c:v>43616</c:v>
                </c:pt>
                <c:pt idx="42">
                  <c:v>43644</c:v>
                </c:pt>
                <c:pt idx="43">
                  <c:v>43677</c:v>
                </c:pt>
                <c:pt idx="44">
                  <c:v>43707</c:v>
                </c:pt>
                <c:pt idx="45">
                  <c:v>43738</c:v>
                </c:pt>
                <c:pt idx="46">
                  <c:v>43769</c:v>
                </c:pt>
                <c:pt idx="47">
                  <c:v>43798</c:v>
                </c:pt>
                <c:pt idx="48">
                  <c:v>43830</c:v>
                </c:pt>
                <c:pt idx="49">
                  <c:v>43861</c:v>
                </c:pt>
                <c:pt idx="50">
                  <c:v>43889</c:v>
                </c:pt>
                <c:pt idx="51">
                  <c:v>43921</c:v>
                </c:pt>
                <c:pt idx="52">
                  <c:v>43951</c:v>
                </c:pt>
                <c:pt idx="53">
                  <c:v>43980</c:v>
                </c:pt>
                <c:pt idx="54">
                  <c:v>44012</c:v>
                </c:pt>
                <c:pt idx="55">
                  <c:v>44043</c:v>
                </c:pt>
                <c:pt idx="56">
                  <c:v>44074</c:v>
                </c:pt>
                <c:pt idx="57">
                  <c:v>44104</c:v>
                </c:pt>
                <c:pt idx="58">
                  <c:v>44134</c:v>
                </c:pt>
                <c:pt idx="59">
                  <c:v>44165</c:v>
                </c:pt>
                <c:pt idx="60">
                  <c:v>44196</c:v>
                </c:pt>
                <c:pt idx="61">
                  <c:v>44225</c:v>
                </c:pt>
                <c:pt idx="62">
                  <c:v>44253</c:v>
                </c:pt>
                <c:pt idx="63">
                  <c:v>44286</c:v>
                </c:pt>
                <c:pt idx="64">
                  <c:v>44316</c:v>
                </c:pt>
                <c:pt idx="65">
                  <c:v>44344</c:v>
                </c:pt>
                <c:pt idx="66">
                  <c:v>44377</c:v>
                </c:pt>
                <c:pt idx="67">
                  <c:v>44407</c:v>
                </c:pt>
                <c:pt idx="68">
                  <c:v>44439</c:v>
                </c:pt>
                <c:pt idx="69">
                  <c:v>44469</c:v>
                </c:pt>
                <c:pt idx="70">
                  <c:v>44498</c:v>
                </c:pt>
                <c:pt idx="71">
                  <c:v>44530</c:v>
                </c:pt>
                <c:pt idx="72">
                  <c:v>44561</c:v>
                </c:pt>
                <c:pt idx="73">
                  <c:v>44592</c:v>
                </c:pt>
                <c:pt idx="74">
                  <c:v>44620</c:v>
                </c:pt>
                <c:pt idx="75">
                  <c:v>44651</c:v>
                </c:pt>
                <c:pt idx="76">
                  <c:v>44680</c:v>
                </c:pt>
                <c:pt idx="77">
                  <c:v>44712</c:v>
                </c:pt>
                <c:pt idx="78">
                  <c:v>44742</c:v>
                </c:pt>
                <c:pt idx="79">
                  <c:v>44771</c:v>
                </c:pt>
                <c:pt idx="80">
                  <c:v>44804</c:v>
                </c:pt>
                <c:pt idx="81">
                  <c:v>44834</c:v>
                </c:pt>
                <c:pt idx="82">
                  <c:v>44865</c:v>
                </c:pt>
                <c:pt idx="83">
                  <c:v>44895</c:v>
                </c:pt>
                <c:pt idx="84">
                  <c:v>44925</c:v>
                </c:pt>
                <c:pt idx="85">
                  <c:v>44957</c:v>
                </c:pt>
                <c:pt idx="86">
                  <c:v>44985</c:v>
                </c:pt>
                <c:pt idx="87">
                  <c:v>45016</c:v>
                </c:pt>
                <c:pt idx="88">
                  <c:v>45044</c:v>
                </c:pt>
                <c:pt idx="89">
                  <c:v>45077</c:v>
                </c:pt>
                <c:pt idx="90">
                  <c:v>45107</c:v>
                </c:pt>
                <c:pt idx="91">
                  <c:v>45138</c:v>
                </c:pt>
                <c:pt idx="92">
                  <c:v>45169</c:v>
                </c:pt>
                <c:pt idx="93">
                  <c:v>45198</c:v>
                </c:pt>
                <c:pt idx="94">
                  <c:v>45230</c:v>
                </c:pt>
                <c:pt idx="95">
                  <c:v>45260</c:v>
                </c:pt>
                <c:pt idx="96">
                  <c:v>45289</c:v>
                </c:pt>
                <c:pt idx="97">
                  <c:v>45322</c:v>
                </c:pt>
                <c:pt idx="98">
                  <c:v>45351</c:v>
                </c:pt>
                <c:pt idx="99">
                  <c:v>45379</c:v>
                </c:pt>
                <c:pt idx="100">
                  <c:v>45412</c:v>
                </c:pt>
                <c:pt idx="101">
                  <c:v>45443</c:v>
                </c:pt>
                <c:pt idx="102">
                  <c:v>45471</c:v>
                </c:pt>
                <c:pt idx="103">
                  <c:v>45504</c:v>
                </c:pt>
                <c:pt idx="104">
                  <c:v>45534</c:v>
                </c:pt>
                <c:pt idx="105">
                  <c:v>45565</c:v>
                </c:pt>
                <c:pt idx="106">
                  <c:v>45596</c:v>
                </c:pt>
                <c:pt idx="107">
                  <c:v>45625</c:v>
                </c:pt>
                <c:pt idx="108">
                  <c:v>45657</c:v>
                </c:pt>
                <c:pt idx="109">
                  <c:v>45688</c:v>
                </c:pt>
                <c:pt idx="110">
                  <c:v>45716</c:v>
                </c:pt>
                <c:pt idx="111">
                  <c:v>45747</c:v>
                </c:pt>
                <c:pt idx="112">
                  <c:v>45777</c:v>
                </c:pt>
                <c:pt idx="113">
                  <c:v>45807</c:v>
                </c:pt>
                <c:pt idx="114">
                  <c:v>45838</c:v>
                </c:pt>
                <c:pt idx="115">
                  <c:v>45869</c:v>
                </c:pt>
                <c:pt idx="116">
                  <c:v>45898</c:v>
                </c:pt>
                <c:pt idx="117">
                  <c:v>45930</c:v>
                </c:pt>
                <c:pt idx="118">
                  <c:v>45961</c:v>
                </c:pt>
                <c:pt idx="119">
                  <c:v>45989</c:v>
                </c:pt>
                <c:pt idx="120">
                  <c:v>46022</c:v>
                </c:pt>
              </c:numCache>
            </c:numRef>
          </c:cat>
          <c:val>
            <c:numRef>
              <c:f>Dashboard!$L$2:$L$122</c:f>
              <c:numCache>
                <c:formatCode>0.00%</c:formatCode>
                <c:ptCount val="121"/>
                <c:pt idx="0">
                  <c:v>0</c:v>
                </c:pt>
                <c:pt idx="1">
                  <c:v>-6.2591845901027732E-4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-5.0952565789984527E-3</c:v>
                </c:pt>
                <c:pt idx="9">
                  <c:v>-1.8541286856911254E-3</c:v>
                </c:pt>
                <c:pt idx="10">
                  <c:v>-1.7929389807013973E-2</c:v>
                </c:pt>
                <c:pt idx="11">
                  <c:v>-3.4269046235005707E-2</c:v>
                </c:pt>
                <c:pt idx="12">
                  <c:v>-2.6954632893343211E-2</c:v>
                </c:pt>
                <c:pt idx="13">
                  <c:v>-1.6572015738108292E-2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-2.3007112277328989E-4</c:v>
                </c:pt>
                <c:pt idx="19">
                  <c:v>0</c:v>
                </c:pt>
                <c:pt idx="20">
                  <c:v>0</c:v>
                </c:pt>
                <c:pt idx="21">
                  <c:v>-5.6864815400681223E-4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-2.2040022589675745E-2</c:v>
                </c:pt>
                <c:pt idx="27">
                  <c:v>-2.2851848708032696E-2</c:v>
                </c:pt>
                <c:pt idx="28">
                  <c:v>-2.8863853289224362E-2</c:v>
                </c:pt>
                <c:pt idx="29">
                  <c:v>-1.7612495521106775E-2</c:v>
                </c:pt>
                <c:pt idx="30">
                  <c:v>-1.6803775992817127E-2</c:v>
                </c:pt>
                <c:pt idx="31">
                  <c:v>-6.5279776991330474E-3</c:v>
                </c:pt>
                <c:pt idx="32">
                  <c:v>0</c:v>
                </c:pt>
                <c:pt idx="33">
                  <c:v>-5.4073038722266542E-3</c:v>
                </c:pt>
                <c:pt idx="34">
                  <c:v>-3.5866487303711558E-2</c:v>
                </c:pt>
                <c:pt idx="35">
                  <c:v>-2.1464436308170631E-2</c:v>
                </c:pt>
                <c:pt idx="36">
                  <c:v>-3.5823240164574388E-2</c:v>
                </c:pt>
                <c:pt idx="37">
                  <c:v>-1.6176143315781433E-3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-6.0370310188717635E-3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-1.4586496099404211E-2</c:v>
                </c:pt>
                <c:pt idx="51">
                  <c:v>-4.3865731137383901E-2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-1.1043461559517631E-2</c:v>
                </c:pt>
                <c:pt idx="58">
                  <c:v>-2.8789770595054609E-2</c:v>
                </c:pt>
                <c:pt idx="59">
                  <c:v>0</c:v>
                </c:pt>
                <c:pt idx="60">
                  <c:v>0</c:v>
                </c:pt>
                <c:pt idx="61">
                  <c:v>-9.4672152326834569E-3</c:v>
                </c:pt>
                <c:pt idx="62">
                  <c:v>-1.2945289006554117E-2</c:v>
                </c:pt>
                <c:pt idx="63">
                  <c:v>-1.1636831042359352E-2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-2.7100713429405232E-2</c:v>
                </c:pt>
                <c:pt idx="70">
                  <c:v>-6.4104654929271199E-3</c:v>
                </c:pt>
                <c:pt idx="71">
                  <c:v>-6.4507139494029975E-3</c:v>
                </c:pt>
                <c:pt idx="72">
                  <c:v>0</c:v>
                </c:pt>
                <c:pt idx="73">
                  <c:v>-3.1415850313846638E-2</c:v>
                </c:pt>
                <c:pt idx="74">
                  <c:v>-4.4599246780300583E-2</c:v>
                </c:pt>
                <c:pt idx="75">
                  <c:v>-5.7357093676641768E-2</c:v>
                </c:pt>
                <c:pt idx="76">
                  <c:v>-0.11247219593904711</c:v>
                </c:pt>
                <c:pt idx="77">
                  <c:v>-0.10716579259715253</c:v>
                </c:pt>
                <c:pt idx="78">
                  <c:v>-0.1413484320976921</c:v>
                </c:pt>
                <c:pt idx="79">
                  <c:v>-9.8911371165692707E-2</c:v>
                </c:pt>
                <c:pt idx="80">
                  <c:v>-0.13505880694857586</c:v>
                </c:pt>
                <c:pt idx="81">
                  <c:v>-0.19213747882585563</c:v>
                </c:pt>
                <c:pt idx="82">
                  <c:v>-0.17643173935840573</c:v>
                </c:pt>
                <c:pt idx="83">
                  <c:v>-0.1342371549942849</c:v>
                </c:pt>
                <c:pt idx="84">
                  <c:v>-0.15874311690501763</c:v>
                </c:pt>
                <c:pt idx="85">
                  <c:v>-0.11745310592530178</c:v>
                </c:pt>
                <c:pt idx="86">
                  <c:v>-0.14523428941063565</c:v>
                </c:pt>
                <c:pt idx="87">
                  <c:v>-0.11422664956748141</c:v>
                </c:pt>
                <c:pt idx="88">
                  <c:v>-0.10394140444988831</c:v>
                </c:pt>
                <c:pt idx="89">
                  <c:v>-0.11374257351707218</c:v>
                </c:pt>
                <c:pt idx="90">
                  <c:v>-9.8898964708522552E-2</c:v>
                </c:pt>
                <c:pt idx="91">
                  <c:v>-9.0077451255170082E-2</c:v>
                </c:pt>
                <c:pt idx="92">
                  <c:v>-0.10259217786010921</c:v>
                </c:pt>
                <c:pt idx="93">
                  <c:v>-0.13531778954048479</c:v>
                </c:pt>
                <c:pt idx="94">
                  <c:v>-0.1540786039963894</c:v>
                </c:pt>
                <c:pt idx="95">
                  <c:v>-0.10060634606457663</c:v>
                </c:pt>
                <c:pt idx="96">
                  <c:v>-6.3155928942148831E-2</c:v>
                </c:pt>
                <c:pt idx="97">
                  <c:v>-5.9894950737746311E-2</c:v>
                </c:pt>
                <c:pt idx="98">
                  <c:v>-5.418107716996523E-2</c:v>
                </c:pt>
                <c:pt idx="99">
                  <c:v>-3.7501602572598602E-2</c:v>
                </c:pt>
                <c:pt idx="100">
                  <c:v>-6.9580999582449343E-2</c:v>
                </c:pt>
                <c:pt idx="101">
                  <c:v>-4.1631558494134802E-2</c:v>
                </c:pt>
                <c:pt idx="102">
                  <c:v>-2.4857366582567098E-2</c:v>
                </c:pt>
                <c:pt idx="103">
                  <c:v>-2.2978583649996276E-3</c:v>
                </c:pt>
                <c:pt idx="104">
                  <c:v>0</c:v>
                </c:pt>
                <c:pt idx="105">
                  <c:v>0</c:v>
                </c:pt>
                <c:pt idx="106">
                  <c:v>-2.7728612593911683E-2</c:v>
                </c:pt>
                <c:pt idx="107">
                  <c:v>-4.8073905084914381E-3</c:v>
                </c:pt>
                <c:pt idx="108">
                  <c:v>-2.8017984872338864E-2</c:v>
                </c:pt>
                <c:pt idx="109">
                  <c:v>-1.3185579285279636E-2</c:v>
                </c:pt>
                <c:pt idx="110">
                  <c:v>0</c:v>
                </c:pt>
                <c:pt idx="111">
                  <c:v>-1.4526920009382827E-2</c:v>
                </c:pt>
                <c:pt idx="112">
                  <c:v>-7.3484065621700623E-3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-2.0172852670007346E-3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52-4D38-98AF-BBF5B81F3F3C}"/>
            </c:ext>
          </c:extLst>
        </c:ser>
        <c:ser>
          <c:idx val="1"/>
          <c:order val="1"/>
          <c:tx>
            <c:strRef>
              <c:f>Dashboard!$M$1</c:f>
              <c:strCache>
                <c:ptCount val="1"/>
                <c:pt idx="0">
                  <c:v>Balanced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Dashboard!$K$2:$K$122</c:f>
              <c:numCache>
                <c:formatCode>yyyy\-mm\-dd;@</c:formatCode>
                <c:ptCount val="121"/>
                <c:pt idx="0">
                  <c:v>42369</c:v>
                </c:pt>
                <c:pt idx="1">
                  <c:v>42398</c:v>
                </c:pt>
                <c:pt idx="2">
                  <c:v>42429</c:v>
                </c:pt>
                <c:pt idx="3">
                  <c:v>42460</c:v>
                </c:pt>
                <c:pt idx="4">
                  <c:v>42489</c:v>
                </c:pt>
                <c:pt idx="5">
                  <c:v>42521</c:v>
                </c:pt>
                <c:pt idx="6">
                  <c:v>42551</c:v>
                </c:pt>
                <c:pt idx="7">
                  <c:v>42580</c:v>
                </c:pt>
                <c:pt idx="8">
                  <c:v>42613</c:v>
                </c:pt>
                <c:pt idx="9">
                  <c:v>42643</c:v>
                </c:pt>
                <c:pt idx="10">
                  <c:v>42674</c:v>
                </c:pt>
                <c:pt idx="11">
                  <c:v>42704</c:v>
                </c:pt>
                <c:pt idx="12">
                  <c:v>42734</c:v>
                </c:pt>
                <c:pt idx="13">
                  <c:v>42766</c:v>
                </c:pt>
                <c:pt idx="14">
                  <c:v>42794</c:v>
                </c:pt>
                <c:pt idx="15">
                  <c:v>42825</c:v>
                </c:pt>
                <c:pt idx="16">
                  <c:v>42853</c:v>
                </c:pt>
                <c:pt idx="17">
                  <c:v>42886</c:v>
                </c:pt>
                <c:pt idx="18">
                  <c:v>42916</c:v>
                </c:pt>
                <c:pt idx="19">
                  <c:v>42947</c:v>
                </c:pt>
                <c:pt idx="20">
                  <c:v>42978</c:v>
                </c:pt>
                <c:pt idx="21">
                  <c:v>43007</c:v>
                </c:pt>
                <c:pt idx="22">
                  <c:v>43039</c:v>
                </c:pt>
                <c:pt idx="23">
                  <c:v>43069</c:v>
                </c:pt>
                <c:pt idx="24">
                  <c:v>43098</c:v>
                </c:pt>
                <c:pt idx="25">
                  <c:v>43131</c:v>
                </c:pt>
                <c:pt idx="26">
                  <c:v>43159</c:v>
                </c:pt>
                <c:pt idx="27">
                  <c:v>43188</c:v>
                </c:pt>
                <c:pt idx="28">
                  <c:v>43220</c:v>
                </c:pt>
                <c:pt idx="29">
                  <c:v>43251</c:v>
                </c:pt>
                <c:pt idx="30">
                  <c:v>43280</c:v>
                </c:pt>
                <c:pt idx="31">
                  <c:v>43312</c:v>
                </c:pt>
                <c:pt idx="32">
                  <c:v>43343</c:v>
                </c:pt>
                <c:pt idx="33">
                  <c:v>43371</c:v>
                </c:pt>
                <c:pt idx="34">
                  <c:v>43404</c:v>
                </c:pt>
                <c:pt idx="35">
                  <c:v>43434</c:v>
                </c:pt>
                <c:pt idx="36">
                  <c:v>43465</c:v>
                </c:pt>
                <c:pt idx="37">
                  <c:v>43496</c:v>
                </c:pt>
                <c:pt idx="38">
                  <c:v>43524</c:v>
                </c:pt>
                <c:pt idx="39">
                  <c:v>43553</c:v>
                </c:pt>
                <c:pt idx="40">
                  <c:v>43585</c:v>
                </c:pt>
                <c:pt idx="41">
                  <c:v>43616</c:v>
                </c:pt>
                <c:pt idx="42">
                  <c:v>43644</c:v>
                </c:pt>
                <c:pt idx="43">
                  <c:v>43677</c:v>
                </c:pt>
                <c:pt idx="44">
                  <c:v>43707</c:v>
                </c:pt>
                <c:pt idx="45">
                  <c:v>43738</c:v>
                </c:pt>
                <c:pt idx="46">
                  <c:v>43769</c:v>
                </c:pt>
                <c:pt idx="47">
                  <c:v>43798</c:v>
                </c:pt>
                <c:pt idx="48">
                  <c:v>43830</c:v>
                </c:pt>
                <c:pt idx="49">
                  <c:v>43861</c:v>
                </c:pt>
                <c:pt idx="50">
                  <c:v>43889</c:v>
                </c:pt>
                <c:pt idx="51">
                  <c:v>43921</c:v>
                </c:pt>
                <c:pt idx="52">
                  <c:v>43951</c:v>
                </c:pt>
                <c:pt idx="53">
                  <c:v>43980</c:v>
                </c:pt>
                <c:pt idx="54">
                  <c:v>44012</c:v>
                </c:pt>
                <c:pt idx="55">
                  <c:v>44043</c:v>
                </c:pt>
                <c:pt idx="56">
                  <c:v>44074</c:v>
                </c:pt>
                <c:pt idx="57">
                  <c:v>44104</c:v>
                </c:pt>
                <c:pt idx="58">
                  <c:v>44134</c:v>
                </c:pt>
                <c:pt idx="59">
                  <c:v>44165</c:v>
                </c:pt>
                <c:pt idx="60">
                  <c:v>44196</c:v>
                </c:pt>
                <c:pt idx="61">
                  <c:v>44225</c:v>
                </c:pt>
                <c:pt idx="62">
                  <c:v>44253</c:v>
                </c:pt>
                <c:pt idx="63">
                  <c:v>44286</c:v>
                </c:pt>
                <c:pt idx="64">
                  <c:v>44316</c:v>
                </c:pt>
                <c:pt idx="65">
                  <c:v>44344</c:v>
                </c:pt>
                <c:pt idx="66">
                  <c:v>44377</c:v>
                </c:pt>
                <c:pt idx="67">
                  <c:v>44407</c:v>
                </c:pt>
                <c:pt idx="68">
                  <c:v>44439</c:v>
                </c:pt>
                <c:pt idx="69">
                  <c:v>44469</c:v>
                </c:pt>
                <c:pt idx="70">
                  <c:v>44498</c:v>
                </c:pt>
                <c:pt idx="71">
                  <c:v>44530</c:v>
                </c:pt>
                <c:pt idx="72">
                  <c:v>44561</c:v>
                </c:pt>
                <c:pt idx="73">
                  <c:v>44592</c:v>
                </c:pt>
                <c:pt idx="74">
                  <c:v>44620</c:v>
                </c:pt>
                <c:pt idx="75">
                  <c:v>44651</c:v>
                </c:pt>
                <c:pt idx="76">
                  <c:v>44680</c:v>
                </c:pt>
                <c:pt idx="77">
                  <c:v>44712</c:v>
                </c:pt>
                <c:pt idx="78">
                  <c:v>44742</c:v>
                </c:pt>
                <c:pt idx="79">
                  <c:v>44771</c:v>
                </c:pt>
                <c:pt idx="80">
                  <c:v>44804</c:v>
                </c:pt>
                <c:pt idx="81">
                  <c:v>44834</c:v>
                </c:pt>
                <c:pt idx="82">
                  <c:v>44865</c:v>
                </c:pt>
                <c:pt idx="83">
                  <c:v>44895</c:v>
                </c:pt>
                <c:pt idx="84">
                  <c:v>44925</c:v>
                </c:pt>
                <c:pt idx="85">
                  <c:v>44957</c:v>
                </c:pt>
                <c:pt idx="86">
                  <c:v>44985</c:v>
                </c:pt>
                <c:pt idx="87">
                  <c:v>45016</c:v>
                </c:pt>
                <c:pt idx="88">
                  <c:v>45044</c:v>
                </c:pt>
                <c:pt idx="89">
                  <c:v>45077</c:v>
                </c:pt>
                <c:pt idx="90">
                  <c:v>45107</c:v>
                </c:pt>
                <c:pt idx="91">
                  <c:v>45138</c:v>
                </c:pt>
                <c:pt idx="92">
                  <c:v>45169</c:v>
                </c:pt>
                <c:pt idx="93">
                  <c:v>45198</c:v>
                </c:pt>
                <c:pt idx="94">
                  <c:v>45230</c:v>
                </c:pt>
                <c:pt idx="95">
                  <c:v>45260</c:v>
                </c:pt>
                <c:pt idx="96">
                  <c:v>45289</c:v>
                </c:pt>
                <c:pt idx="97">
                  <c:v>45322</c:v>
                </c:pt>
                <c:pt idx="98">
                  <c:v>45351</c:v>
                </c:pt>
                <c:pt idx="99">
                  <c:v>45379</c:v>
                </c:pt>
                <c:pt idx="100">
                  <c:v>45412</c:v>
                </c:pt>
                <c:pt idx="101">
                  <c:v>45443</c:v>
                </c:pt>
                <c:pt idx="102">
                  <c:v>45471</c:v>
                </c:pt>
                <c:pt idx="103">
                  <c:v>45504</c:v>
                </c:pt>
                <c:pt idx="104">
                  <c:v>45534</c:v>
                </c:pt>
                <c:pt idx="105">
                  <c:v>45565</c:v>
                </c:pt>
                <c:pt idx="106">
                  <c:v>45596</c:v>
                </c:pt>
                <c:pt idx="107">
                  <c:v>45625</c:v>
                </c:pt>
                <c:pt idx="108">
                  <c:v>45657</c:v>
                </c:pt>
                <c:pt idx="109">
                  <c:v>45688</c:v>
                </c:pt>
                <c:pt idx="110">
                  <c:v>45716</c:v>
                </c:pt>
                <c:pt idx="111">
                  <c:v>45747</c:v>
                </c:pt>
                <c:pt idx="112">
                  <c:v>45777</c:v>
                </c:pt>
                <c:pt idx="113">
                  <c:v>45807</c:v>
                </c:pt>
                <c:pt idx="114">
                  <c:v>45838</c:v>
                </c:pt>
                <c:pt idx="115">
                  <c:v>45869</c:v>
                </c:pt>
                <c:pt idx="116">
                  <c:v>45898</c:v>
                </c:pt>
                <c:pt idx="117">
                  <c:v>45930</c:v>
                </c:pt>
                <c:pt idx="118">
                  <c:v>45961</c:v>
                </c:pt>
                <c:pt idx="119">
                  <c:v>45989</c:v>
                </c:pt>
                <c:pt idx="120">
                  <c:v>46022</c:v>
                </c:pt>
              </c:numCache>
            </c:numRef>
          </c:cat>
          <c:val>
            <c:numRef>
              <c:f>Dashboard!$M$2:$M$122</c:f>
              <c:numCache>
                <c:formatCode>0.00%</c:formatCode>
                <c:ptCount val="121"/>
                <c:pt idx="0">
                  <c:v>0</c:v>
                </c:pt>
                <c:pt idx="1">
                  <c:v>-1.7607244404769462E-2</c:v>
                </c:pt>
                <c:pt idx="2">
                  <c:v>-1.4857339385208834E-2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-2.5859755777759563E-3</c:v>
                </c:pt>
                <c:pt idx="9">
                  <c:v>0</c:v>
                </c:pt>
                <c:pt idx="10">
                  <c:v>-1.6683965277015655E-2</c:v>
                </c:pt>
                <c:pt idx="11">
                  <c:v>-2.044127339127666E-2</c:v>
                </c:pt>
                <c:pt idx="12">
                  <c:v>-8.7321610083281875E-3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-2.8395896708067192E-2</c:v>
                </c:pt>
                <c:pt idx="27">
                  <c:v>-3.522060737596211E-2</c:v>
                </c:pt>
                <c:pt idx="28">
                  <c:v>-3.7966432671415973E-2</c:v>
                </c:pt>
                <c:pt idx="29">
                  <c:v>-2.5991234427771626E-2</c:v>
                </c:pt>
                <c:pt idx="30">
                  <c:v>-2.5749935879650354E-2</c:v>
                </c:pt>
                <c:pt idx="31">
                  <c:v>-7.9056525330728489E-3</c:v>
                </c:pt>
                <c:pt idx="32">
                  <c:v>0</c:v>
                </c:pt>
                <c:pt idx="33">
                  <c:v>-2.0857897994082109E-3</c:v>
                </c:pt>
                <c:pt idx="34">
                  <c:v>-4.6414860854657292E-2</c:v>
                </c:pt>
                <c:pt idx="35">
                  <c:v>-3.1390025034127467E-2</c:v>
                </c:pt>
                <c:pt idx="36">
                  <c:v>-6.6290711686400772E-2</c:v>
                </c:pt>
                <c:pt idx="37">
                  <c:v>-1.9650286115328042E-2</c:v>
                </c:pt>
                <c:pt idx="38">
                  <c:v>-5.1778994542683865E-3</c:v>
                </c:pt>
                <c:pt idx="39">
                  <c:v>0</c:v>
                </c:pt>
                <c:pt idx="40">
                  <c:v>0</c:v>
                </c:pt>
                <c:pt idx="41">
                  <c:v>-2.4298367331645476E-2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-3.6688058858383998E-2</c:v>
                </c:pt>
                <c:pt idx="51">
                  <c:v>-9.7552643126715743E-2</c:v>
                </c:pt>
                <c:pt idx="52">
                  <c:v>-3.5455866240875045E-2</c:v>
                </c:pt>
                <c:pt idx="53">
                  <c:v>-6.2520821931866255E-3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-1.8203986837675878E-2</c:v>
                </c:pt>
                <c:pt idx="58">
                  <c:v>-3.7852466244304162E-2</c:v>
                </c:pt>
                <c:pt idx="59">
                  <c:v>0</c:v>
                </c:pt>
                <c:pt idx="60">
                  <c:v>0</c:v>
                </c:pt>
                <c:pt idx="61">
                  <c:v>-8.7399820634936898E-3</c:v>
                </c:pt>
                <c:pt idx="62">
                  <c:v>-2.2475562202862731E-3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-3.2665653702763087E-2</c:v>
                </c:pt>
                <c:pt idx="70">
                  <c:v>0</c:v>
                </c:pt>
                <c:pt idx="71">
                  <c:v>-5.5214354174508706E-3</c:v>
                </c:pt>
                <c:pt idx="72">
                  <c:v>0</c:v>
                </c:pt>
                <c:pt idx="73">
                  <c:v>-3.6558625054746718E-2</c:v>
                </c:pt>
                <c:pt idx="74">
                  <c:v>-5.4763791931908279E-2</c:v>
                </c:pt>
                <c:pt idx="75">
                  <c:v>-5.4504176126317083E-2</c:v>
                </c:pt>
                <c:pt idx="76">
                  <c:v>-0.11743813535079595</c:v>
                </c:pt>
                <c:pt idx="77">
                  <c:v>-0.11225198528190439</c:v>
                </c:pt>
                <c:pt idx="78">
                  <c:v>-0.15940119425422605</c:v>
                </c:pt>
                <c:pt idx="79">
                  <c:v>-0.10953101795714326</c:v>
                </c:pt>
                <c:pt idx="80">
                  <c:v>-0.1459544641074072</c:v>
                </c:pt>
                <c:pt idx="81">
                  <c:v>-0.21027444201148582</c:v>
                </c:pt>
                <c:pt idx="82">
                  <c:v>-0.18150349143014166</c:v>
                </c:pt>
                <c:pt idx="83">
                  <c:v>-0.13338440581268918</c:v>
                </c:pt>
                <c:pt idx="84">
                  <c:v>-0.16373159285359884</c:v>
                </c:pt>
                <c:pt idx="85">
                  <c:v>-0.11713777582524021</c:v>
                </c:pt>
                <c:pt idx="86">
                  <c:v>-0.14438625052777521</c:v>
                </c:pt>
                <c:pt idx="87">
                  <c:v>-0.11374768625921639</c:v>
                </c:pt>
                <c:pt idx="88">
                  <c:v>-0.10192193011169304</c:v>
                </c:pt>
                <c:pt idx="89">
                  <c:v>-0.11019808760002003</c:v>
                </c:pt>
                <c:pt idx="90">
                  <c:v>-8.2259007145384366E-2</c:v>
                </c:pt>
                <c:pt idx="91">
                  <c:v>-6.5791952280312982E-2</c:v>
                </c:pt>
                <c:pt idx="92">
                  <c:v>-8.1651031318155987E-2</c:v>
                </c:pt>
                <c:pt idx="93">
                  <c:v>-0.11747231875612374</c:v>
                </c:pt>
                <c:pt idx="94">
                  <c:v>-0.13768788595693027</c:v>
                </c:pt>
                <c:pt idx="95">
                  <c:v>-7.5562321588196646E-2</c:v>
                </c:pt>
                <c:pt idx="96">
                  <c:v>-3.5258524573034911E-2</c:v>
                </c:pt>
                <c:pt idx="97">
                  <c:v>-3.057162977586525E-2</c:v>
                </c:pt>
                <c:pt idx="98">
                  <c:v>-1.1638767485429247E-2</c:v>
                </c:pt>
                <c:pt idx="99">
                  <c:v>0</c:v>
                </c:pt>
                <c:pt idx="100">
                  <c:v>-3.4345187075550343E-2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-2.4656102265270596E-2</c:v>
                </c:pt>
                <c:pt idx="107">
                  <c:v>0</c:v>
                </c:pt>
                <c:pt idx="108">
                  <c:v>-2.3692181823666392E-2</c:v>
                </c:pt>
                <c:pt idx="109">
                  <c:v>-4.3542812529644426E-3</c:v>
                </c:pt>
                <c:pt idx="110">
                  <c:v>0</c:v>
                </c:pt>
                <c:pt idx="111">
                  <c:v>-2.3500044331913883E-2</c:v>
                </c:pt>
                <c:pt idx="112">
                  <c:v>-1.7986896617307346E-2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52-4D38-98AF-BBF5B81F3F3C}"/>
            </c:ext>
          </c:extLst>
        </c:ser>
        <c:ser>
          <c:idx val="2"/>
          <c:order val="2"/>
          <c:tx>
            <c:strRef>
              <c:f>Dashboard!$N$1</c:f>
              <c:strCache>
                <c:ptCount val="1"/>
                <c:pt idx="0">
                  <c:v>Growth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Dashboard!$K$2:$K$122</c:f>
              <c:numCache>
                <c:formatCode>yyyy\-mm\-dd;@</c:formatCode>
                <c:ptCount val="121"/>
                <c:pt idx="0">
                  <c:v>42369</c:v>
                </c:pt>
                <c:pt idx="1">
                  <c:v>42398</c:v>
                </c:pt>
                <c:pt idx="2">
                  <c:v>42429</c:v>
                </c:pt>
                <c:pt idx="3">
                  <c:v>42460</c:v>
                </c:pt>
                <c:pt idx="4">
                  <c:v>42489</c:v>
                </c:pt>
                <c:pt idx="5">
                  <c:v>42521</c:v>
                </c:pt>
                <c:pt idx="6">
                  <c:v>42551</c:v>
                </c:pt>
                <c:pt idx="7">
                  <c:v>42580</c:v>
                </c:pt>
                <c:pt idx="8">
                  <c:v>42613</c:v>
                </c:pt>
                <c:pt idx="9">
                  <c:v>42643</c:v>
                </c:pt>
                <c:pt idx="10">
                  <c:v>42674</c:v>
                </c:pt>
                <c:pt idx="11">
                  <c:v>42704</c:v>
                </c:pt>
                <c:pt idx="12">
                  <c:v>42734</c:v>
                </c:pt>
                <c:pt idx="13">
                  <c:v>42766</c:v>
                </c:pt>
                <c:pt idx="14">
                  <c:v>42794</c:v>
                </c:pt>
                <c:pt idx="15">
                  <c:v>42825</c:v>
                </c:pt>
                <c:pt idx="16">
                  <c:v>42853</c:v>
                </c:pt>
                <c:pt idx="17">
                  <c:v>42886</c:v>
                </c:pt>
                <c:pt idx="18">
                  <c:v>42916</c:v>
                </c:pt>
                <c:pt idx="19">
                  <c:v>42947</c:v>
                </c:pt>
                <c:pt idx="20">
                  <c:v>42978</c:v>
                </c:pt>
                <c:pt idx="21">
                  <c:v>43007</c:v>
                </c:pt>
                <c:pt idx="22">
                  <c:v>43039</c:v>
                </c:pt>
                <c:pt idx="23">
                  <c:v>43069</c:v>
                </c:pt>
                <c:pt idx="24">
                  <c:v>43098</c:v>
                </c:pt>
                <c:pt idx="25">
                  <c:v>43131</c:v>
                </c:pt>
                <c:pt idx="26">
                  <c:v>43159</c:v>
                </c:pt>
                <c:pt idx="27">
                  <c:v>43188</c:v>
                </c:pt>
                <c:pt idx="28">
                  <c:v>43220</c:v>
                </c:pt>
                <c:pt idx="29">
                  <c:v>43251</c:v>
                </c:pt>
                <c:pt idx="30">
                  <c:v>43280</c:v>
                </c:pt>
                <c:pt idx="31">
                  <c:v>43312</c:v>
                </c:pt>
                <c:pt idx="32">
                  <c:v>43343</c:v>
                </c:pt>
                <c:pt idx="33">
                  <c:v>43371</c:v>
                </c:pt>
                <c:pt idx="34">
                  <c:v>43404</c:v>
                </c:pt>
                <c:pt idx="35">
                  <c:v>43434</c:v>
                </c:pt>
                <c:pt idx="36">
                  <c:v>43465</c:v>
                </c:pt>
                <c:pt idx="37">
                  <c:v>43496</c:v>
                </c:pt>
                <c:pt idx="38">
                  <c:v>43524</c:v>
                </c:pt>
                <c:pt idx="39">
                  <c:v>43553</c:v>
                </c:pt>
                <c:pt idx="40">
                  <c:v>43585</c:v>
                </c:pt>
                <c:pt idx="41">
                  <c:v>43616</c:v>
                </c:pt>
                <c:pt idx="42">
                  <c:v>43644</c:v>
                </c:pt>
                <c:pt idx="43">
                  <c:v>43677</c:v>
                </c:pt>
                <c:pt idx="44">
                  <c:v>43707</c:v>
                </c:pt>
                <c:pt idx="45">
                  <c:v>43738</c:v>
                </c:pt>
                <c:pt idx="46">
                  <c:v>43769</c:v>
                </c:pt>
                <c:pt idx="47">
                  <c:v>43798</c:v>
                </c:pt>
                <c:pt idx="48">
                  <c:v>43830</c:v>
                </c:pt>
                <c:pt idx="49">
                  <c:v>43861</c:v>
                </c:pt>
                <c:pt idx="50">
                  <c:v>43889</c:v>
                </c:pt>
                <c:pt idx="51">
                  <c:v>43921</c:v>
                </c:pt>
                <c:pt idx="52">
                  <c:v>43951</c:v>
                </c:pt>
                <c:pt idx="53">
                  <c:v>43980</c:v>
                </c:pt>
                <c:pt idx="54">
                  <c:v>44012</c:v>
                </c:pt>
                <c:pt idx="55">
                  <c:v>44043</c:v>
                </c:pt>
                <c:pt idx="56">
                  <c:v>44074</c:v>
                </c:pt>
                <c:pt idx="57">
                  <c:v>44104</c:v>
                </c:pt>
                <c:pt idx="58">
                  <c:v>44134</c:v>
                </c:pt>
                <c:pt idx="59">
                  <c:v>44165</c:v>
                </c:pt>
                <c:pt idx="60">
                  <c:v>44196</c:v>
                </c:pt>
                <c:pt idx="61">
                  <c:v>44225</c:v>
                </c:pt>
                <c:pt idx="62">
                  <c:v>44253</c:v>
                </c:pt>
                <c:pt idx="63">
                  <c:v>44286</c:v>
                </c:pt>
                <c:pt idx="64">
                  <c:v>44316</c:v>
                </c:pt>
                <c:pt idx="65">
                  <c:v>44344</c:v>
                </c:pt>
                <c:pt idx="66">
                  <c:v>44377</c:v>
                </c:pt>
                <c:pt idx="67">
                  <c:v>44407</c:v>
                </c:pt>
                <c:pt idx="68">
                  <c:v>44439</c:v>
                </c:pt>
                <c:pt idx="69">
                  <c:v>44469</c:v>
                </c:pt>
                <c:pt idx="70">
                  <c:v>44498</c:v>
                </c:pt>
                <c:pt idx="71">
                  <c:v>44530</c:v>
                </c:pt>
                <c:pt idx="72">
                  <c:v>44561</c:v>
                </c:pt>
                <c:pt idx="73">
                  <c:v>44592</c:v>
                </c:pt>
                <c:pt idx="74">
                  <c:v>44620</c:v>
                </c:pt>
                <c:pt idx="75">
                  <c:v>44651</c:v>
                </c:pt>
                <c:pt idx="76">
                  <c:v>44680</c:v>
                </c:pt>
                <c:pt idx="77">
                  <c:v>44712</c:v>
                </c:pt>
                <c:pt idx="78">
                  <c:v>44742</c:v>
                </c:pt>
                <c:pt idx="79">
                  <c:v>44771</c:v>
                </c:pt>
                <c:pt idx="80">
                  <c:v>44804</c:v>
                </c:pt>
                <c:pt idx="81">
                  <c:v>44834</c:v>
                </c:pt>
                <c:pt idx="82">
                  <c:v>44865</c:v>
                </c:pt>
                <c:pt idx="83">
                  <c:v>44895</c:v>
                </c:pt>
                <c:pt idx="84">
                  <c:v>44925</c:v>
                </c:pt>
                <c:pt idx="85">
                  <c:v>44957</c:v>
                </c:pt>
                <c:pt idx="86">
                  <c:v>44985</c:v>
                </c:pt>
                <c:pt idx="87">
                  <c:v>45016</c:v>
                </c:pt>
                <c:pt idx="88">
                  <c:v>45044</c:v>
                </c:pt>
                <c:pt idx="89">
                  <c:v>45077</c:v>
                </c:pt>
                <c:pt idx="90">
                  <c:v>45107</c:v>
                </c:pt>
                <c:pt idx="91">
                  <c:v>45138</c:v>
                </c:pt>
                <c:pt idx="92">
                  <c:v>45169</c:v>
                </c:pt>
                <c:pt idx="93">
                  <c:v>45198</c:v>
                </c:pt>
                <c:pt idx="94">
                  <c:v>45230</c:v>
                </c:pt>
                <c:pt idx="95">
                  <c:v>45260</c:v>
                </c:pt>
                <c:pt idx="96">
                  <c:v>45289</c:v>
                </c:pt>
                <c:pt idx="97">
                  <c:v>45322</c:v>
                </c:pt>
                <c:pt idx="98">
                  <c:v>45351</c:v>
                </c:pt>
                <c:pt idx="99">
                  <c:v>45379</c:v>
                </c:pt>
                <c:pt idx="100">
                  <c:v>45412</c:v>
                </c:pt>
                <c:pt idx="101">
                  <c:v>45443</c:v>
                </c:pt>
                <c:pt idx="102">
                  <c:v>45471</c:v>
                </c:pt>
                <c:pt idx="103">
                  <c:v>45504</c:v>
                </c:pt>
                <c:pt idx="104">
                  <c:v>45534</c:v>
                </c:pt>
                <c:pt idx="105">
                  <c:v>45565</c:v>
                </c:pt>
                <c:pt idx="106">
                  <c:v>45596</c:v>
                </c:pt>
                <c:pt idx="107">
                  <c:v>45625</c:v>
                </c:pt>
                <c:pt idx="108">
                  <c:v>45657</c:v>
                </c:pt>
                <c:pt idx="109">
                  <c:v>45688</c:v>
                </c:pt>
                <c:pt idx="110">
                  <c:v>45716</c:v>
                </c:pt>
                <c:pt idx="111">
                  <c:v>45747</c:v>
                </c:pt>
                <c:pt idx="112">
                  <c:v>45777</c:v>
                </c:pt>
                <c:pt idx="113">
                  <c:v>45807</c:v>
                </c:pt>
                <c:pt idx="114">
                  <c:v>45838</c:v>
                </c:pt>
                <c:pt idx="115">
                  <c:v>45869</c:v>
                </c:pt>
                <c:pt idx="116">
                  <c:v>45898</c:v>
                </c:pt>
                <c:pt idx="117">
                  <c:v>45930</c:v>
                </c:pt>
                <c:pt idx="118">
                  <c:v>45961</c:v>
                </c:pt>
                <c:pt idx="119">
                  <c:v>45989</c:v>
                </c:pt>
                <c:pt idx="120">
                  <c:v>46022</c:v>
                </c:pt>
              </c:numCache>
            </c:numRef>
          </c:cat>
          <c:val>
            <c:numRef>
              <c:f>Dashboard!$N$2:$N$122</c:f>
              <c:numCache>
                <c:formatCode>0.00%</c:formatCode>
                <c:ptCount val="121"/>
                <c:pt idx="0">
                  <c:v>0</c:v>
                </c:pt>
                <c:pt idx="1">
                  <c:v>-3.4588570350528647E-2</c:v>
                </c:pt>
                <c:pt idx="2">
                  <c:v>-3.5767562221470373E-2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-7.6694576553570926E-5</c:v>
                </c:pt>
                <c:pt idx="9">
                  <c:v>0</c:v>
                </c:pt>
                <c:pt idx="10">
                  <c:v>-1.7262808463854529E-2</c:v>
                </c:pt>
                <c:pt idx="11">
                  <c:v>-8.4222541199517886E-3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-3.4751770826458639E-2</c:v>
                </c:pt>
                <c:pt idx="27">
                  <c:v>-4.7510628888072892E-2</c:v>
                </c:pt>
                <c:pt idx="28">
                  <c:v>-4.7072034169847066E-2</c:v>
                </c:pt>
                <c:pt idx="29">
                  <c:v>-3.4388729049536493E-2</c:v>
                </c:pt>
                <c:pt idx="30">
                  <c:v>-3.4705201725995227E-2</c:v>
                </c:pt>
                <c:pt idx="31">
                  <c:v>-9.4333857907485941E-3</c:v>
                </c:pt>
                <c:pt idx="32">
                  <c:v>0</c:v>
                </c:pt>
                <c:pt idx="33">
                  <c:v>0</c:v>
                </c:pt>
                <c:pt idx="34">
                  <c:v>-5.8218669946092705E-2</c:v>
                </c:pt>
                <c:pt idx="35">
                  <c:v>-4.2609121768274694E-2</c:v>
                </c:pt>
                <c:pt idx="36">
                  <c:v>-9.7553476646087822E-2</c:v>
                </c:pt>
                <c:pt idx="37">
                  <c:v>-3.9411538510192301E-2</c:v>
                </c:pt>
                <c:pt idx="38">
                  <c:v>-1.8821274309299252E-2</c:v>
                </c:pt>
                <c:pt idx="39">
                  <c:v>-3.8671432878534251E-4</c:v>
                </c:pt>
                <c:pt idx="40">
                  <c:v>0</c:v>
                </c:pt>
                <c:pt idx="41">
                  <c:v>-4.2559703644419189E-2</c:v>
                </c:pt>
                <c:pt idx="42">
                  <c:v>0</c:v>
                </c:pt>
                <c:pt idx="43">
                  <c:v>0</c:v>
                </c:pt>
                <c:pt idx="44">
                  <c:v>-6.6257909296526529E-3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-5.8789621617363785E-2</c:v>
                </c:pt>
                <c:pt idx="51">
                  <c:v>-0.14976007676647263</c:v>
                </c:pt>
                <c:pt idx="52">
                  <c:v>-7.2534267436741184E-2</c:v>
                </c:pt>
                <c:pt idx="53">
                  <c:v>-3.6105026811606655E-2</c:v>
                </c:pt>
                <c:pt idx="54">
                  <c:v>-1.6791982825784091E-2</c:v>
                </c:pt>
                <c:pt idx="55">
                  <c:v>0</c:v>
                </c:pt>
                <c:pt idx="56">
                  <c:v>0</c:v>
                </c:pt>
                <c:pt idx="57">
                  <c:v>-2.5364512115834126E-2</c:v>
                </c:pt>
                <c:pt idx="58">
                  <c:v>-4.6885541466795466E-2</c:v>
                </c:pt>
                <c:pt idx="59">
                  <c:v>0</c:v>
                </c:pt>
                <c:pt idx="60">
                  <c:v>0</c:v>
                </c:pt>
                <c:pt idx="61">
                  <c:v>-8.0127488943039227E-3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-3.8230593976120941E-2</c:v>
                </c:pt>
                <c:pt idx="70">
                  <c:v>0</c:v>
                </c:pt>
                <c:pt idx="71">
                  <c:v>-1.1002362702440704E-2</c:v>
                </c:pt>
                <c:pt idx="72">
                  <c:v>0</c:v>
                </c:pt>
                <c:pt idx="73">
                  <c:v>-4.1701399795647021E-2</c:v>
                </c:pt>
                <c:pt idx="74">
                  <c:v>-6.4873978156936074E-2</c:v>
                </c:pt>
                <c:pt idx="75">
                  <c:v>-5.1873189883298476E-2</c:v>
                </c:pt>
                <c:pt idx="76">
                  <c:v>-0.1226556160297374</c:v>
                </c:pt>
                <c:pt idx="77">
                  <c:v>-0.11759015239728166</c:v>
                </c:pt>
                <c:pt idx="78">
                  <c:v>-0.17753800200453085</c:v>
                </c:pt>
                <c:pt idx="79">
                  <c:v>-0.1205981199444871</c:v>
                </c:pt>
                <c:pt idx="80">
                  <c:v>-0.15726217668309805</c:v>
                </c:pt>
                <c:pt idx="81">
                  <c:v>-0.22858547629221004</c:v>
                </c:pt>
                <c:pt idx="82">
                  <c:v>-0.18737492513447374</c:v>
                </c:pt>
                <c:pt idx="83">
                  <c:v>-0.13346103509536034</c:v>
                </c:pt>
                <c:pt idx="84">
                  <c:v>-0.16962211188861476</c:v>
                </c:pt>
                <c:pt idx="85">
                  <c:v>-0.11784692956592446</c:v>
                </c:pt>
                <c:pt idx="86">
                  <c:v>-0.14453131808744779</c:v>
                </c:pt>
                <c:pt idx="87">
                  <c:v>-0.1142977199236086</c:v>
                </c:pt>
                <c:pt idx="88">
                  <c:v>-0.10094530631414278</c:v>
                </c:pt>
                <c:pt idx="89">
                  <c:v>-0.10768168061133543</c:v>
                </c:pt>
                <c:pt idx="90">
                  <c:v>-6.6590613837279489E-2</c:v>
                </c:pt>
                <c:pt idx="91">
                  <c:v>-4.2232029863476295E-2</c:v>
                </c:pt>
                <c:pt idx="92">
                  <c:v>-6.1577318344515408E-2</c:v>
                </c:pt>
                <c:pt idx="93">
                  <c:v>-0.10056459776385784</c:v>
                </c:pt>
                <c:pt idx="94">
                  <c:v>-0.12225547694974315</c:v>
                </c:pt>
                <c:pt idx="95">
                  <c:v>-5.1264538808986626E-2</c:v>
                </c:pt>
                <c:pt idx="96">
                  <c:v>-8.0432583555265502E-3</c:v>
                </c:pt>
                <c:pt idx="97">
                  <c:v>-1.8578500955959143E-3</c:v>
                </c:pt>
                <c:pt idx="98">
                  <c:v>0</c:v>
                </c:pt>
                <c:pt idx="99">
                  <c:v>0</c:v>
                </c:pt>
                <c:pt idx="100">
                  <c:v>-3.5361075010869825E-2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-2.158359193662962E-2</c:v>
                </c:pt>
                <c:pt idx="107">
                  <c:v>0</c:v>
                </c:pt>
                <c:pt idx="108">
                  <c:v>-2.4061647881078563E-2</c:v>
                </c:pt>
                <c:pt idx="109">
                  <c:v>-2.932620248411455E-4</c:v>
                </c:pt>
                <c:pt idx="110">
                  <c:v>0</c:v>
                </c:pt>
                <c:pt idx="111">
                  <c:v>-3.2473168654444828E-2</c:v>
                </c:pt>
                <c:pt idx="112">
                  <c:v>-2.8595981609229382E-2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952-4D38-98AF-BBF5B81F3F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2774920"/>
        <c:axId val="292777480"/>
      </c:lineChart>
      <c:dateAx>
        <c:axId val="29277492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777480"/>
        <c:crosses val="autoZero"/>
        <c:auto val="1"/>
        <c:lblOffset val="100"/>
        <c:baseTimeUnit val="months"/>
        <c:majorUnit val="12"/>
      </c:dateAx>
      <c:valAx>
        <c:axId val="292777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774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171450</xdr:rowOff>
    </xdr:from>
    <xdr:to>
      <xdr:col>2</xdr:col>
      <xdr:colOff>762000</xdr:colOff>
      <xdr:row>24</xdr:row>
      <xdr:rowOff>95250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906682A2-28E4-4A13-ACAB-0B09EE20C9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24</xdr:row>
      <xdr:rowOff>104775</xdr:rowOff>
    </xdr:from>
    <xdr:to>
      <xdr:col>2</xdr:col>
      <xdr:colOff>733425</xdr:colOff>
      <xdr:row>34</xdr:row>
      <xdr:rowOff>104775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3BF9C1B-459E-750F-EF84-D32B7D93353D}"/>
            </a:ext>
            <a:ext uri="{147F2762-F138-4A5C-976F-8EAC2B608ADB}">
              <a16:predDERef xmlns:a16="http://schemas.microsoft.com/office/drawing/2014/main" pred="{906682A2-28E4-4A13-ACAB-0B09EE20C9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workbookViewId="0">
      <selection activeCell="B5" sqref="B5"/>
    </sheetView>
  </sheetViews>
  <sheetFormatPr defaultRowHeight="13.5"/>
  <cols>
    <col min="1" max="1" width="25.75" bestFit="1" customWidth="1"/>
    <col min="2" max="2" width="12.25" bestFit="1" customWidth="1"/>
    <col min="3" max="3" width="8.5" bestFit="1" customWidth="1"/>
    <col min="4" max="4" width="6.625" bestFit="1" customWidth="1"/>
  </cols>
  <sheetData>
    <row r="1" spans="1:4" ht="15">
      <c r="A1" s="1" t="s">
        <v>0</v>
      </c>
      <c r="B1" s="1" t="s">
        <v>1</v>
      </c>
      <c r="C1" s="1" t="s">
        <v>2</v>
      </c>
      <c r="D1" s="1" t="s">
        <v>3</v>
      </c>
    </row>
    <row r="2" spans="1:4" ht="15">
      <c r="A2" s="25" t="s">
        <v>4</v>
      </c>
      <c r="B2" s="26">
        <v>0.3</v>
      </c>
      <c r="C2" s="26">
        <v>0.45</v>
      </c>
      <c r="D2" s="26">
        <v>0.6</v>
      </c>
    </row>
    <row r="3" spans="1:4" ht="15">
      <c r="A3" s="25" t="s">
        <v>5</v>
      </c>
      <c r="B3" s="26">
        <v>0.1</v>
      </c>
      <c r="C3" s="26">
        <v>0.15</v>
      </c>
      <c r="D3" s="26">
        <v>0.2</v>
      </c>
    </row>
    <row r="4" spans="1:4" ht="15">
      <c r="A4" s="25" t="s">
        <v>6</v>
      </c>
      <c r="B4" s="26">
        <v>0.6</v>
      </c>
      <c r="C4" s="26">
        <v>0.4</v>
      </c>
      <c r="D4" s="26">
        <v>0.2</v>
      </c>
    </row>
    <row r="5" spans="1:4" ht="15">
      <c r="A5" s="11" t="s">
        <v>7</v>
      </c>
      <c r="B5" s="20">
        <f>SUM(B2:B4)</f>
        <v>1</v>
      </c>
      <c r="C5" s="20">
        <f>SUM(C2:C4)</f>
        <v>1</v>
      </c>
      <c r="D5" s="20">
        <f>SUM(D2:D4)</f>
        <v>1</v>
      </c>
    </row>
    <row r="8" spans="1:4" ht="15">
      <c r="A8" s="5" t="s">
        <v>8</v>
      </c>
      <c r="B8" s="5" t="s">
        <v>9</v>
      </c>
    </row>
    <row r="9" spans="1:4" ht="15">
      <c r="A9" s="5" t="s">
        <v>10</v>
      </c>
      <c r="B9" s="5" t="s">
        <v>11</v>
      </c>
    </row>
    <row r="10" spans="1:4" ht="15">
      <c r="A10" s="5" t="s">
        <v>12</v>
      </c>
      <c r="B10" s="27">
        <v>10000</v>
      </c>
    </row>
    <row r="12" spans="1:4" ht="15">
      <c r="A12" s="5" t="s">
        <v>13</v>
      </c>
      <c r="B12" s="5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84B33-0B73-4EB8-B987-2A42E62C5A02}">
  <dimension ref="A1:D122"/>
  <sheetViews>
    <sheetView topLeftCell="A110" workbookViewId="0">
      <selection activeCell="C2" sqref="C2:D122"/>
    </sheetView>
  </sheetViews>
  <sheetFormatPr defaultRowHeight="13.5"/>
  <cols>
    <col min="1" max="1" width="11" style="7" bestFit="1" customWidth="1"/>
    <col min="2" max="2" width="23.875" style="4" bestFit="1" customWidth="1"/>
    <col min="3" max="3" width="34.625" bestFit="1" customWidth="1"/>
    <col min="4" max="4" width="23" bestFit="1" customWidth="1"/>
  </cols>
  <sheetData>
    <row r="1" spans="1:4" ht="15">
      <c r="A1" s="6" t="s">
        <v>15</v>
      </c>
      <c r="B1" s="3" t="s">
        <v>16</v>
      </c>
      <c r="C1" s="1" t="s">
        <v>17</v>
      </c>
      <c r="D1" s="1" t="s">
        <v>18</v>
      </c>
    </row>
    <row r="2" spans="1:4" ht="15">
      <c r="A2" s="8">
        <v>42369</v>
      </c>
      <c r="B2" s="2">
        <v>171.994034</v>
      </c>
      <c r="C2" s="2">
        <v>36.784359000000002</v>
      </c>
      <c r="D2" s="2">
        <v>82.272109999999998</v>
      </c>
    </row>
    <row r="3" spans="1:4" ht="15">
      <c r="A3" s="8">
        <v>42398</v>
      </c>
      <c r="B3" s="2">
        <v>163.38887</v>
      </c>
      <c r="C3" s="2">
        <v>34.717655200000003</v>
      </c>
      <c r="D3" s="2">
        <v>85.014793400000002</v>
      </c>
    </row>
    <row r="4" spans="1:4" ht="15">
      <c r="A4" s="8">
        <v>42429</v>
      </c>
      <c r="B4" s="2">
        <v>163.29657</v>
      </c>
      <c r="C4" s="2">
        <v>34.048580200000004</v>
      </c>
      <c r="D4" s="2">
        <v>86.278152500000004</v>
      </c>
    </row>
    <row r="5" spans="1:4" ht="15">
      <c r="A5" s="8">
        <v>42460</v>
      </c>
      <c r="B5" s="2">
        <v>173.48843400000001</v>
      </c>
      <c r="C5" s="2">
        <v>36.7546234</v>
      </c>
      <c r="D5" s="2">
        <v>86.221084599999998</v>
      </c>
    </row>
    <row r="6" spans="1:4" ht="15">
      <c r="A6" s="8">
        <v>42489</v>
      </c>
      <c r="B6" s="2">
        <v>174.16845699999999</v>
      </c>
      <c r="C6" s="2">
        <v>37.654163400000002</v>
      </c>
      <c r="D6" s="2">
        <v>86.0864105</v>
      </c>
    </row>
    <row r="7" spans="1:4" ht="15">
      <c r="A7" s="8">
        <v>42521</v>
      </c>
      <c r="B7" s="2">
        <v>177.11515800000001</v>
      </c>
      <c r="C7" s="2">
        <v>37.260150899999999</v>
      </c>
      <c r="D7" s="2">
        <v>86.000999500000006</v>
      </c>
    </row>
    <row r="8" spans="1:4" ht="15">
      <c r="A8" s="8">
        <v>42551</v>
      </c>
      <c r="B8" s="2">
        <v>177.564301</v>
      </c>
      <c r="C8" s="2">
        <v>36.950126599999997</v>
      </c>
      <c r="D8" s="2">
        <v>88.6564178</v>
      </c>
    </row>
    <row r="9" spans="1:4" ht="15">
      <c r="A9" s="8">
        <v>42580</v>
      </c>
      <c r="B9" s="2">
        <v>184.20288099999999</v>
      </c>
      <c r="C9" s="2">
        <v>38.482170099999998</v>
      </c>
      <c r="D9" s="2">
        <v>88.874908399999995</v>
      </c>
    </row>
    <row r="10" spans="1:4" ht="15">
      <c r="A10" s="8">
        <v>42613</v>
      </c>
      <c r="B10" s="2">
        <v>184.439087</v>
      </c>
      <c r="C10" s="2">
        <v>38.708576200000003</v>
      </c>
      <c r="D10" s="2">
        <v>87.976043700000005</v>
      </c>
    </row>
    <row r="11" spans="1:4" ht="15">
      <c r="A11" s="8">
        <v>42643</v>
      </c>
      <c r="B11" s="2">
        <v>184.451447</v>
      </c>
      <c r="C11" s="2">
        <v>39.410449999999997</v>
      </c>
      <c r="D11" s="2">
        <v>88.184898399999994</v>
      </c>
    </row>
    <row r="12" spans="1:4" ht="15">
      <c r="A12" s="8">
        <v>42674</v>
      </c>
      <c r="B12" s="2">
        <v>181.17031900000001</v>
      </c>
      <c r="C12" s="2">
        <v>38.701026900000002</v>
      </c>
      <c r="D12" s="2">
        <v>86.866760299999996</v>
      </c>
    </row>
    <row r="13" spans="1:4" ht="15">
      <c r="A13" s="8">
        <v>42704</v>
      </c>
      <c r="B13" s="2">
        <v>187.817261</v>
      </c>
      <c r="C13" s="2">
        <v>37.818035100000003</v>
      </c>
      <c r="D13" s="2">
        <v>83.194747899999996</v>
      </c>
    </row>
    <row r="14" spans="1:4" ht="15">
      <c r="A14" s="8">
        <v>42734</v>
      </c>
      <c r="B14" s="2">
        <v>191.84288000000001</v>
      </c>
      <c r="C14" s="2">
        <v>38.519508399999999</v>
      </c>
      <c r="D14" s="2">
        <v>83.096160900000001</v>
      </c>
    </row>
    <row r="15" spans="1:4" ht="15">
      <c r="A15" s="8">
        <v>42766</v>
      </c>
      <c r="B15" s="2">
        <v>195.202393</v>
      </c>
      <c r="C15" s="2">
        <v>40.098731999999998</v>
      </c>
      <c r="D15" s="2">
        <v>83.278541599999997</v>
      </c>
    </row>
    <row r="16" spans="1:4" ht="15">
      <c r="A16" s="8">
        <v>42794</v>
      </c>
      <c r="B16" s="2">
        <v>202.961761</v>
      </c>
      <c r="C16" s="2">
        <v>40.678550700000002</v>
      </c>
      <c r="D16" s="2">
        <v>83.881134000000003</v>
      </c>
    </row>
    <row r="17" spans="1:4" ht="15">
      <c r="A17" s="8">
        <v>42825</v>
      </c>
      <c r="B17" s="2">
        <v>203.20031700000001</v>
      </c>
      <c r="C17" s="2">
        <v>41.769519799999998</v>
      </c>
      <c r="D17" s="2">
        <v>83.948700000000002</v>
      </c>
    </row>
    <row r="18" spans="1:4" ht="15">
      <c r="A18" s="8">
        <v>42853</v>
      </c>
      <c r="B18" s="2">
        <v>205.16146900000001</v>
      </c>
      <c r="C18" s="2">
        <v>42.753673599999999</v>
      </c>
      <c r="D18" s="2">
        <v>84.8794556</v>
      </c>
    </row>
    <row r="19" spans="1:4" ht="15">
      <c r="A19" s="8">
        <v>42886</v>
      </c>
      <c r="B19" s="2">
        <v>208.02183500000001</v>
      </c>
      <c r="C19" s="2">
        <v>43.959079699999997</v>
      </c>
      <c r="D19" s="2">
        <v>85.581237799999997</v>
      </c>
    </row>
    <row r="20" spans="1:4" ht="15">
      <c r="A20" s="8">
        <v>42916</v>
      </c>
      <c r="B20" s="2">
        <v>209.409515</v>
      </c>
      <c r="C20" s="2">
        <v>44.322059600000003</v>
      </c>
      <c r="D20" s="2">
        <v>85.145195000000001</v>
      </c>
    </row>
    <row r="21" spans="1:4" ht="15">
      <c r="A21" s="8">
        <v>42947</v>
      </c>
      <c r="B21" s="2">
        <v>213.75412</v>
      </c>
      <c r="C21" s="2">
        <v>45.898372700000003</v>
      </c>
      <c r="D21" s="2">
        <v>85.464317300000005</v>
      </c>
    </row>
    <row r="22" spans="1:4" ht="15">
      <c r="A22" s="8">
        <v>42978</v>
      </c>
      <c r="B22" s="2">
        <v>214.33912699999999</v>
      </c>
      <c r="C22" s="2">
        <v>46.215187100000001</v>
      </c>
      <c r="D22" s="2">
        <v>86.710006699999994</v>
      </c>
    </row>
    <row r="23" spans="1:4" ht="15">
      <c r="A23" s="8">
        <v>43007</v>
      </c>
      <c r="B23" s="2">
        <v>218.71459999999999</v>
      </c>
      <c r="C23" s="2">
        <v>47.119228399999997</v>
      </c>
      <c r="D23" s="2">
        <v>85.460090600000001</v>
      </c>
    </row>
    <row r="24" spans="1:4" ht="15">
      <c r="A24" s="8">
        <v>43039</v>
      </c>
      <c r="B24" s="2">
        <v>223.79924</v>
      </c>
      <c r="C24" s="2">
        <v>48.054199199999999</v>
      </c>
      <c r="D24" s="2">
        <v>85.298545799999999</v>
      </c>
    </row>
    <row r="25" spans="1:4" ht="15">
      <c r="A25" s="8">
        <v>43069</v>
      </c>
      <c r="B25" s="2">
        <v>230.78619399999999</v>
      </c>
      <c r="C25" s="2">
        <v>48.332363100000002</v>
      </c>
      <c r="D25" s="2">
        <v>85.060356100000007</v>
      </c>
    </row>
    <row r="26" spans="1:4" ht="15">
      <c r="A26" s="8">
        <v>43098</v>
      </c>
      <c r="B26" s="2">
        <v>233.57633999999999</v>
      </c>
      <c r="C26" s="2">
        <v>49.3510475</v>
      </c>
      <c r="D26" s="2">
        <v>85.217498800000001</v>
      </c>
    </row>
    <row r="27" spans="1:4" ht="15">
      <c r="A27" s="8">
        <v>43131</v>
      </c>
      <c r="B27" s="2">
        <v>246.86891199999999</v>
      </c>
      <c r="C27" s="2">
        <v>52.104961400000001</v>
      </c>
      <c r="D27" s="2">
        <v>83.385154700000001</v>
      </c>
    </row>
    <row r="28" spans="1:4" ht="15">
      <c r="A28" s="8">
        <v>43159</v>
      </c>
      <c r="B28" s="2">
        <v>237.47717299999999</v>
      </c>
      <c r="C28" s="2">
        <v>49.484065999999999</v>
      </c>
      <c r="D28" s="2">
        <v>82.607315099999994</v>
      </c>
    </row>
    <row r="29" spans="1:4" ht="15">
      <c r="A29" s="8">
        <v>43188</v>
      </c>
      <c r="B29" s="2">
        <v>231.593369</v>
      </c>
      <c r="C29" s="2">
        <v>49.319770800000001</v>
      </c>
      <c r="D29" s="2">
        <v>83.562088000000003</v>
      </c>
    </row>
    <row r="30" spans="1:4" ht="15">
      <c r="A30" s="8">
        <v>43220</v>
      </c>
      <c r="B30" s="2">
        <v>232.413712</v>
      </c>
      <c r="C30" s="2">
        <v>49.538826</v>
      </c>
      <c r="D30" s="2">
        <v>82.495361299999999</v>
      </c>
    </row>
    <row r="31" spans="1:4" ht="15">
      <c r="A31" s="8">
        <v>43251</v>
      </c>
      <c r="B31" s="2">
        <v>238.01660200000001</v>
      </c>
      <c r="C31" s="2">
        <v>48.764297499999998</v>
      </c>
      <c r="D31" s="2">
        <v>83.3089066</v>
      </c>
    </row>
    <row r="32" spans="1:4" ht="15">
      <c r="A32" s="8">
        <v>43280</v>
      </c>
      <c r="B32" s="2">
        <v>239.414703</v>
      </c>
      <c r="C32" s="2">
        <v>47.728797900000004</v>
      </c>
      <c r="D32" s="2">
        <v>83.4733734</v>
      </c>
    </row>
    <row r="33" spans="1:4" ht="15">
      <c r="A33" s="8">
        <v>43312</v>
      </c>
      <c r="B33" s="2">
        <v>248.38459800000001</v>
      </c>
      <c r="C33" s="2">
        <v>48.863876300000001</v>
      </c>
      <c r="D33" s="2">
        <v>83.032836900000007</v>
      </c>
    </row>
    <row r="34" spans="1:4" ht="15">
      <c r="A34" s="8">
        <v>43343</v>
      </c>
      <c r="B34" s="2">
        <v>256.41629</v>
      </c>
      <c r="C34" s="2">
        <v>47.768482200000001</v>
      </c>
      <c r="D34" s="2">
        <v>83.874809299999995</v>
      </c>
    </row>
    <row r="35" spans="1:4" ht="15">
      <c r="A35" s="8">
        <v>43371</v>
      </c>
      <c r="B35" s="2">
        <v>257.78970299999997</v>
      </c>
      <c r="C35" s="2">
        <v>47.871681199999998</v>
      </c>
      <c r="D35" s="2">
        <v>82.864090000000004</v>
      </c>
    </row>
    <row r="36" spans="1:4" ht="15">
      <c r="A36" s="8">
        <v>43404</v>
      </c>
      <c r="B36" s="2">
        <v>240.20330799999999</v>
      </c>
      <c r="C36" s="2">
        <v>43.879055000000001</v>
      </c>
      <c r="D36" s="2">
        <v>82.612937900000006</v>
      </c>
    </row>
    <row r="37" spans="1:4" ht="15">
      <c r="A37" s="8">
        <v>43434</v>
      </c>
      <c r="B37" s="2">
        <v>244.81776400000001</v>
      </c>
      <c r="C37" s="2">
        <v>44.402946499999999</v>
      </c>
      <c r="D37" s="2">
        <v>83.711784399999999</v>
      </c>
    </row>
    <row r="38" spans="1:4" ht="15">
      <c r="A38" s="8">
        <v>43465</v>
      </c>
      <c r="B38" s="2">
        <v>223.08940100000001</v>
      </c>
      <c r="C38" s="2">
        <v>42.239151</v>
      </c>
      <c r="D38" s="2">
        <v>86.0592422</v>
      </c>
    </row>
    <row r="39" spans="1:4" ht="15">
      <c r="A39" s="8">
        <v>43496</v>
      </c>
      <c r="B39" s="2">
        <v>240.76916499999999</v>
      </c>
      <c r="C39" s="2">
        <v>45.5278931</v>
      </c>
      <c r="D39" s="2">
        <v>86.620864900000001</v>
      </c>
    </row>
    <row r="40" spans="1:4" ht="15">
      <c r="A40" s="8">
        <v>43524</v>
      </c>
      <c r="B40" s="2">
        <v>248.54505900000001</v>
      </c>
      <c r="C40" s="2">
        <v>46.235504200000001</v>
      </c>
      <c r="D40" s="2">
        <v>86.165649400000007</v>
      </c>
    </row>
    <row r="41" spans="1:4" ht="15">
      <c r="A41" s="8">
        <v>43553</v>
      </c>
      <c r="B41" s="2">
        <v>253.30687</v>
      </c>
      <c r="C41" s="2">
        <v>46.6938362</v>
      </c>
      <c r="D41" s="2">
        <v>88.453491200000002</v>
      </c>
    </row>
    <row r="42" spans="1:4" ht="15">
      <c r="A42" s="8">
        <v>43585</v>
      </c>
      <c r="B42" s="2">
        <v>263.43704200000002</v>
      </c>
      <c r="C42" s="2">
        <v>47.956268299999998</v>
      </c>
      <c r="D42" s="2">
        <v>87.994834900000001</v>
      </c>
    </row>
    <row r="43" spans="1:4" ht="15">
      <c r="A43" s="8">
        <v>43616</v>
      </c>
      <c r="B43" s="2">
        <v>246.84419299999999</v>
      </c>
      <c r="C43" s="2">
        <v>45.350990299999999</v>
      </c>
      <c r="D43" s="2">
        <v>90.677413900000005</v>
      </c>
    </row>
    <row r="44" spans="1:4" ht="15">
      <c r="A44" s="8">
        <v>43644</v>
      </c>
      <c r="B44" s="2">
        <v>263.98925800000001</v>
      </c>
      <c r="C44" s="2">
        <v>47.931888600000001</v>
      </c>
      <c r="D44" s="2">
        <v>91.781097399999993</v>
      </c>
    </row>
    <row r="45" spans="1:4" ht="15">
      <c r="A45" s="8">
        <v>43677</v>
      </c>
      <c r="B45" s="2">
        <v>268.00173999999998</v>
      </c>
      <c r="C45" s="2">
        <v>47.081809999999997</v>
      </c>
      <c r="D45" s="2">
        <v>91.816192599999994</v>
      </c>
    </row>
    <row r="46" spans="1:4" ht="15">
      <c r="A46" s="8">
        <v>43707</v>
      </c>
      <c r="B46" s="2">
        <v>263.55929600000002</v>
      </c>
      <c r="C46" s="2">
        <v>46.002845800000003</v>
      </c>
      <c r="D46" s="2">
        <v>95.444435100000007</v>
      </c>
    </row>
    <row r="47" spans="1:4" ht="15">
      <c r="A47" s="8">
        <v>43738</v>
      </c>
      <c r="B47" s="2">
        <v>268.68789700000002</v>
      </c>
      <c r="C47" s="2">
        <v>47.212589299999998</v>
      </c>
      <c r="D47" s="2">
        <v>94.312362699999994</v>
      </c>
    </row>
    <row r="48" spans="1:4" ht="15">
      <c r="A48" s="8">
        <v>43769</v>
      </c>
      <c r="B48" s="2">
        <v>274.49340799999999</v>
      </c>
      <c r="C48" s="2">
        <v>48.700248700000003</v>
      </c>
      <c r="D48" s="2">
        <v>94.489608799999999</v>
      </c>
    </row>
    <row r="49" spans="1:4" ht="15">
      <c r="A49" s="8">
        <v>43798</v>
      </c>
      <c r="B49" s="2">
        <v>284.47521999999998</v>
      </c>
      <c r="C49" s="2">
        <v>49.272415199999998</v>
      </c>
      <c r="D49" s="2">
        <v>93.840316799999997</v>
      </c>
    </row>
    <row r="50" spans="1:4" ht="15">
      <c r="A50" s="8">
        <v>43830</v>
      </c>
      <c r="B50" s="2">
        <v>292.80865499999999</v>
      </c>
      <c r="C50" s="2">
        <v>51.408389999999997</v>
      </c>
      <c r="D50" s="2">
        <v>92.969383199999996</v>
      </c>
    </row>
    <row r="51" spans="1:4" ht="15">
      <c r="A51" s="8">
        <v>43861</v>
      </c>
      <c r="B51" s="2">
        <v>292.80865499999999</v>
      </c>
      <c r="C51" s="2">
        <v>49.772296900000001</v>
      </c>
      <c r="D51" s="2">
        <v>96.191543600000003</v>
      </c>
    </row>
    <row r="52" spans="1:4" ht="15">
      <c r="A52" s="8">
        <v>43889</v>
      </c>
      <c r="B52" s="2">
        <v>268.05169699999999</v>
      </c>
      <c r="C52" s="2">
        <v>46.292472799999999</v>
      </c>
      <c r="D52" s="2">
        <v>99.040412900000007</v>
      </c>
    </row>
    <row r="53" spans="1:4" ht="15">
      <c r="A53" s="8">
        <v>43921</v>
      </c>
      <c r="B53" s="2">
        <v>235.539658</v>
      </c>
      <c r="C53" s="2">
        <v>39.042148599999997</v>
      </c>
      <c r="D53" s="2">
        <v>102.727425</v>
      </c>
    </row>
    <row r="54" spans="1:4" ht="15">
      <c r="A54" s="8">
        <v>43951</v>
      </c>
      <c r="B54" s="2">
        <v>265.40139799999997</v>
      </c>
      <c r="C54" s="2">
        <v>41.816036199999999</v>
      </c>
      <c r="D54" s="2">
        <v>103.010178</v>
      </c>
    </row>
    <row r="55" spans="1:4" ht="15">
      <c r="A55" s="8">
        <v>43980</v>
      </c>
      <c r="B55" s="2">
        <v>278.18112200000002</v>
      </c>
      <c r="C55" s="2">
        <v>43.850788100000003</v>
      </c>
      <c r="D55" s="2">
        <v>103.34747299999999</v>
      </c>
    </row>
    <row r="56" spans="1:4" ht="15">
      <c r="A56" s="8">
        <v>44012</v>
      </c>
      <c r="B56" s="2">
        <v>283.46270800000002</v>
      </c>
      <c r="C56" s="2">
        <v>45.7274818</v>
      </c>
      <c r="D56" s="2">
        <v>103.391563</v>
      </c>
    </row>
    <row r="57" spans="1:4" ht="15">
      <c r="A57" s="8">
        <v>44043</v>
      </c>
      <c r="B57" s="2">
        <v>300.05731200000002</v>
      </c>
      <c r="C57" s="2">
        <v>47.656551399999998</v>
      </c>
      <c r="D57" s="2">
        <v>104.27467300000001</v>
      </c>
    </row>
    <row r="58" spans="1:4" ht="15">
      <c r="A58" s="8">
        <v>44074</v>
      </c>
      <c r="B58" s="2">
        <v>321.06366000000003</v>
      </c>
      <c r="C58" s="2">
        <v>49.795310999999998</v>
      </c>
      <c r="D58" s="2">
        <v>103.26340500000001</v>
      </c>
    </row>
    <row r="59" spans="1:4" ht="15">
      <c r="A59" s="8">
        <v>44104</v>
      </c>
      <c r="B59" s="2">
        <v>308.99688700000002</v>
      </c>
      <c r="C59" s="2">
        <v>48.931415600000001</v>
      </c>
      <c r="D59" s="2">
        <v>103.60186</v>
      </c>
    </row>
    <row r="60" spans="1:4" ht="15">
      <c r="A60" s="8">
        <v>44134</v>
      </c>
      <c r="B60" s="2">
        <v>301.23663299999998</v>
      </c>
      <c r="C60" s="2">
        <v>47.891395600000003</v>
      </c>
      <c r="D60" s="2">
        <v>102.171341</v>
      </c>
    </row>
    <row r="61" spans="1:4" ht="15">
      <c r="A61" s="8">
        <v>44165</v>
      </c>
      <c r="B61" s="2">
        <v>334.06170700000001</v>
      </c>
      <c r="C61" s="2">
        <v>53.854762999999998</v>
      </c>
      <c r="D61" s="2">
        <v>102.517082</v>
      </c>
    </row>
    <row r="62" spans="1:4" ht="15">
      <c r="A62" s="8">
        <v>44196</v>
      </c>
      <c r="B62" s="2">
        <v>346.67806999999999</v>
      </c>
      <c r="C62" s="2">
        <v>56.961685199999998</v>
      </c>
      <c r="D62" s="2">
        <v>102.272621</v>
      </c>
    </row>
    <row r="63" spans="1:4" ht="15">
      <c r="A63" s="8">
        <v>44225</v>
      </c>
      <c r="B63" s="2">
        <v>343.10406499999999</v>
      </c>
      <c r="C63" s="2">
        <v>57.063407900000001</v>
      </c>
      <c r="D63" s="2">
        <v>101.155632</v>
      </c>
    </row>
    <row r="64" spans="1:4" ht="15">
      <c r="A64" s="8">
        <v>44253</v>
      </c>
      <c r="B64" s="2">
        <v>352.57000699999998</v>
      </c>
      <c r="C64" s="2">
        <v>58.428317999999997</v>
      </c>
      <c r="D64" s="2">
        <v>98.764991800000004</v>
      </c>
    </row>
    <row r="65" spans="1:4" ht="15">
      <c r="A65" s="8">
        <v>44286</v>
      </c>
      <c r="B65" s="2">
        <v>368.63098100000002</v>
      </c>
      <c r="C65" s="2">
        <v>59.581291200000003</v>
      </c>
      <c r="D65" s="2">
        <v>96.408805799999996</v>
      </c>
    </row>
    <row r="66" spans="1:4" ht="15">
      <c r="A66" s="8">
        <v>44316</v>
      </c>
      <c r="B66" s="2">
        <v>388.145782</v>
      </c>
      <c r="C66" s="2">
        <v>61.268352499999999</v>
      </c>
      <c r="D66" s="2">
        <v>97.374069199999994</v>
      </c>
    </row>
    <row r="67" spans="1:4" ht="15">
      <c r="A67" s="8">
        <v>44344</v>
      </c>
      <c r="B67" s="2">
        <v>390.71249399999999</v>
      </c>
      <c r="C67" s="2">
        <v>63.0825958</v>
      </c>
      <c r="D67" s="2">
        <v>97.787750200000005</v>
      </c>
    </row>
    <row r="68" spans="1:4" ht="15">
      <c r="A68" s="8">
        <v>44377</v>
      </c>
      <c r="B68" s="2">
        <v>399.532196</v>
      </c>
      <c r="C68" s="2">
        <v>62.854431200000001</v>
      </c>
      <c r="D68" s="2">
        <v>98.787734999999998</v>
      </c>
    </row>
    <row r="69" spans="1:4" ht="15">
      <c r="A69" s="8">
        <v>44407</v>
      </c>
      <c r="B69" s="2">
        <v>409.27136200000001</v>
      </c>
      <c r="C69" s="2">
        <v>62.117000599999997</v>
      </c>
      <c r="D69" s="2">
        <v>100.753799</v>
      </c>
    </row>
    <row r="70" spans="1:4" ht="15">
      <c r="A70" s="8">
        <v>44439</v>
      </c>
      <c r="B70" s="2">
        <v>421.64056399999998</v>
      </c>
      <c r="C70" s="2">
        <v>63.068817099999997</v>
      </c>
      <c r="D70" s="2">
        <v>100.356438</v>
      </c>
    </row>
    <row r="71" spans="1:4" ht="15">
      <c r="A71" s="8">
        <v>44469</v>
      </c>
      <c r="B71" s="2">
        <v>401.89205900000002</v>
      </c>
      <c r="C71" s="2">
        <v>60.882205999999996</v>
      </c>
      <c r="D71" s="2">
        <v>98.7536621</v>
      </c>
    </row>
    <row r="72" spans="1:4" ht="15">
      <c r="A72" s="8">
        <v>44498</v>
      </c>
      <c r="B72" s="2">
        <v>430.03625499999998</v>
      </c>
      <c r="C72" s="2">
        <v>62.657215100000002</v>
      </c>
      <c r="D72" s="2">
        <v>98.316238400000003</v>
      </c>
    </row>
    <row r="73" spans="1:4" ht="15">
      <c r="A73" s="8">
        <v>44530</v>
      </c>
      <c r="B73" s="2">
        <v>426.90188599999999</v>
      </c>
      <c r="C73" s="2">
        <v>59.896079999999998</v>
      </c>
      <c r="D73" s="2">
        <v>99.389984100000007</v>
      </c>
    </row>
    <row r="74" spans="1:4" ht="15">
      <c r="A74" s="8">
        <v>44561</v>
      </c>
      <c r="B74" s="2">
        <v>446.37643400000002</v>
      </c>
      <c r="C74" s="2">
        <v>62.006694799999998</v>
      </c>
      <c r="D74" s="2">
        <v>98.869117700000004</v>
      </c>
    </row>
    <row r="75" spans="1:4" ht="15">
      <c r="A75" s="8">
        <v>44592</v>
      </c>
      <c r="B75" s="2">
        <v>422.77502399999997</v>
      </c>
      <c r="C75" s="2">
        <v>60.223587000000002</v>
      </c>
      <c r="D75" s="2">
        <v>96.7799835</v>
      </c>
    </row>
    <row r="76" spans="1:4" ht="15">
      <c r="A76" s="8">
        <v>44620</v>
      </c>
      <c r="B76" s="2">
        <v>410.562592</v>
      </c>
      <c r="C76" s="2">
        <v>58.344329799999997</v>
      </c>
      <c r="D76" s="2">
        <v>96.485671999999994</v>
      </c>
    </row>
    <row r="77" spans="1:4" ht="15">
      <c r="A77" s="8">
        <v>44651</v>
      </c>
      <c r="B77" s="2">
        <v>425.98193400000002</v>
      </c>
      <c r="C77" s="2">
        <v>58.195739699999997</v>
      </c>
      <c r="D77" s="2">
        <v>92.567436200000003</v>
      </c>
    </row>
    <row r="78" spans="1:4" ht="15">
      <c r="A78" s="8">
        <v>44680</v>
      </c>
      <c r="B78" s="2">
        <v>388.302795</v>
      </c>
      <c r="C78" s="2">
        <v>54.376037599999997</v>
      </c>
      <c r="D78" s="2">
        <v>88.653465299999993</v>
      </c>
    </row>
    <row r="79" spans="1:4" ht="15">
      <c r="A79" s="8">
        <v>44712</v>
      </c>
      <c r="B79" s="2">
        <v>389.53280599999999</v>
      </c>
      <c r="C79" s="2">
        <v>55.092773399999999</v>
      </c>
      <c r="D79" s="2">
        <v>89.201705899999993</v>
      </c>
    </row>
    <row r="80" spans="1:4" ht="15">
      <c r="A80" s="8">
        <v>44742</v>
      </c>
      <c r="B80" s="2">
        <v>357.103882</v>
      </c>
      <c r="C80" s="2">
        <v>50.613975500000002</v>
      </c>
      <c r="D80" s="2">
        <v>88.431488000000002</v>
      </c>
    </row>
    <row r="81" spans="1:4" ht="15">
      <c r="A81" s="8">
        <v>44771</v>
      </c>
      <c r="B81" s="2">
        <v>390.19122299999998</v>
      </c>
      <c r="C81" s="2">
        <v>52.566474900000003</v>
      </c>
      <c r="D81" s="2">
        <v>91.0503693</v>
      </c>
    </row>
    <row r="82" spans="1:4" ht="15">
      <c r="A82" s="8">
        <v>44804</v>
      </c>
      <c r="B82" s="2">
        <v>374.085419</v>
      </c>
      <c r="C82" s="2">
        <v>50.1436043</v>
      </c>
      <c r="D82" s="2">
        <v>87.541420000000002</v>
      </c>
    </row>
    <row r="83" spans="1:4" ht="15">
      <c r="A83" s="8">
        <v>44834</v>
      </c>
      <c r="B83" s="2">
        <v>339.53823899999998</v>
      </c>
      <c r="C83" s="2">
        <v>45.191364299999996</v>
      </c>
      <c r="D83" s="2">
        <v>83.396339400000002</v>
      </c>
    </row>
    <row r="84" spans="1:4" ht="15">
      <c r="A84" s="8">
        <v>44865</v>
      </c>
      <c r="B84" s="2">
        <v>367.12545799999998</v>
      </c>
      <c r="C84" s="2">
        <v>46.904228199999999</v>
      </c>
      <c r="D84" s="2">
        <v>82.1837692</v>
      </c>
    </row>
    <row r="85" spans="1:4" ht="15">
      <c r="A85" s="8">
        <v>44895</v>
      </c>
      <c r="B85" s="2">
        <v>387.50820900000002</v>
      </c>
      <c r="C85" s="2">
        <v>52.956974000000002</v>
      </c>
      <c r="D85" s="2">
        <v>85.152442899999997</v>
      </c>
    </row>
    <row r="86" spans="1:4" ht="15">
      <c r="A86" s="8">
        <v>44925</v>
      </c>
      <c r="B86" s="2">
        <v>365.30853300000001</v>
      </c>
      <c r="C86" s="2">
        <v>51.796859699999999</v>
      </c>
      <c r="D86" s="2">
        <v>83.885307299999994</v>
      </c>
    </row>
    <row r="87" spans="1:4" ht="15">
      <c r="A87" s="8">
        <v>44957</v>
      </c>
      <c r="B87" s="2">
        <v>388.22283900000002</v>
      </c>
      <c r="C87" s="2">
        <v>56.342952699999998</v>
      </c>
      <c r="D87" s="2">
        <v>86.889350899999997</v>
      </c>
    </row>
    <row r="88" spans="1:4" ht="15">
      <c r="A88" s="8">
        <v>44985</v>
      </c>
      <c r="B88" s="2">
        <v>378.391571</v>
      </c>
      <c r="C88" s="2">
        <v>53.944614399999999</v>
      </c>
      <c r="D88" s="2">
        <v>84.047401399999998</v>
      </c>
    </row>
    <row r="89" spans="1:4" ht="15">
      <c r="A89" s="8">
        <v>45016</v>
      </c>
      <c r="B89" s="2">
        <v>392.49206500000003</v>
      </c>
      <c r="C89" s="2">
        <v>55.439102200000001</v>
      </c>
      <c r="D89" s="2">
        <v>87.174873399999996</v>
      </c>
    </row>
    <row r="90" spans="1:4" ht="15">
      <c r="A90" s="8">
        <v>45044</v>
      </c>
      <c r="B90" s="2">
        <v>398.77465799999999</v>
      </c>
      <c r="C90" s="2">
        <v>56.504035899999998</v>
      </c>
      <c r="D90" s="2">
        <v>87.885147099999998</v>
      </c>
    </row>
    <row r="91" spans="1:4" ht="15">
      <c r="A91" s="8">
        <v>45077</v>
      </c>
      <c r="B91" s="2">
        <v>400.46456899999998</v>
      </c>
      <c r="C91" s="2">
        <v>54.481559799999999</v>
      </c>
      <c r="D91" s="2">
        <v>86.621055600000005</v>
      </c>
    </row>
    <row r="92" spans="1:4" ht="15">
      <c r="A92" s="8">
        <v>45107</v>
      </c>
      <c r="B92" s="2">
        <v>426.88571200000001</v>
      </c>
      <c r="C92" s="2">
        <v>56.926296200000003</v>
      </c>
      <c r="D92" s="2">
        <v>85.533744799999994</v>
      </c>
    </row>
    <row r="93" spans="1:4" ht="15">
      <c r="A93" s="8">
        <v>45138</v>
      </c>
      <c r="B93" s="2">
        <v>440.74453699999998</v>
      </c>
      <c r="C93" s="2">
        <v>59.180797599999998</v>
      </c>
      <c r="D93" s="2">
        <v>84.976326</v>
      </c>
    </row>
    <row r="94" spans="1:4" ht="15">
      <c r="A94" s="8">
        <v>45169</v>
      </c>
      <c r="B94" s="2">
        <v>433.57089200000001</v>
      </c>
      <c r="C94" s="2">
        <v>56.526302299999998</v>
      </c>
      <c r="D94" s="2">
        <v>84.355239900000001</v>
      </c>
    </row>
    <row r="95" spans="1:4" ht="15">
      <c r="A95" s="8">
        <v>45198</v>
      </c>
      <c r="B95" s="2">
        <v>413.17581200000001</v>
      </c>
      <c r="C95" s="2">
        <v>54.535430900000001</v>
      </c>
      <c r="D95" s="2">
        <v>81.707488999999995</v>
      </c>
    </row>
    <row r="96" spans="1:4" ht="15">
      <c r="A96" s="8">
        <v>45230</v>
      </c>
      <c r="B96" s="2">
        <v>404.04501299999998</v>
      </c>
      <c r="C96" s="2">
        <v>52.626369500000003</v>
      </c>
      <c r="D96" s="2">
        <v>80.132377599999998</v>
      </c>
    </row>
    <row r="97" spans="1:4" ht="15">
      <c r="A97" s="8">
        <v>45260</v>
      </c>
      <c r="B97" s="2">
        <v>441.06857300000001</v>
      </c>
      <c r="C97" s="2">
        <v>57.0444794</v>
      </c>
      <c r="D97" s="2">
        <v>83.781997700000005</v>
      </c>
    </row>
    <row r="98" spans="1:4" ht="15">
      <c r="A98" s="8">
        <v>45289</v>
      </c>
      <c r="B98" s="2">
        <v>461.40609699999999</v>
      </c>
      <c r="C98" s="2">
        <v>59.995510099999997</v>
      </c>
      <c r="D98" s="2">
        <v>86.942466699999997</v>
      </c>
    </row>
    <row r="99" spans="1:4" ht="15">
      <c r="A99" s="8">
        <v>45322</v>
      </c>
      <c r="B99" s="2">
        <v>468.71893299999999</v>
      </c>
      <c r="C99" s="2">
        <v>58.969867700000002</v>
      </c>
      <c r="D99" s="2">
        <v>87.005592300000004</v>
      </c>
    </row>
    <row r="100" spans="1:4" ht="15">
      <c r="A100" s="8">
        <v>45351</v>
      </c>
      <c r="B100" s="2">
        <v>493.111267</v>
      </c>
      <c r="C100" s="2">
        <v>60.716232300000001</v>
      </c>
      <c r="D100" s="2">
        <v>85.193603499999995</v>
      </c>
    </row>
    <row r="101" spans="1:4" ht="15">
      <c r="A101" s="8">
        <v>45379</v>
      </c>
      <c r="B101" s="2">
        <v>509.48904399999998</v>
      </c>
      <c r="C101" s="2">
        <v>62.702842699999998</v>
      </c>
      <c r="D101" s="2">
        <v>85.818222000000006</v>
      </c>
    </row>
    <row r="102" spans="1:4" ht="15">
      <c r="A102" s="8">
        <v>45412</v>
      </c>
      <c r="B102" s="2">
        <v>488.85681199999999</v>
      </c>
      <c r="C102" s="2">
        <v>61.196716299999999</v>
      </c>
      <c r="D102" s="2">
        <v>83.132324199999999</v>
      </c>
    </row>
    <row r="103" spans="1:4" ht="15">
      <c r="A103" s="8">
        <v>45443</v>
      </c>
      <c r="B103" s="2">
        <v>513.58831799999996</v>
      </c>
      <c r="C103" s="2">
        <v>63.682273899999998</v>
      </c>
      <c r="D103" s="2">
        <v>84.628829999999994</v>
      </c>
    </row>
    <row r="104" spans="1:4" ht="15">
      <c r="A104" s="8">
        <v>45471</v>
      </c>
      <c r="B104" s="2">
        <v>531.91662599999995</v>
      </c>
      <c r="C104" s="2">
        <v>63.360549900000002</v>
      </c>
      <c r="D104" s="2">
        <v>85.658767699999999</v>
      </c>
    </row>
    <row r="105" spans="1:4" ht="15">
      <c r="A105" s="8">
        <v>45504</v>
      </c>
      <c r="B105" s="2">
        <v>537.83618200000001</v>
      </c>
      <c r="C105" s="2">
        <v>64.889221199999994</v>
      </c>
      <c r="D105" s="2">
        <v>88.140487699999994</v>
      </c>
    </row>
    <row r="106" spans="1:4" ht="15">
      <c r="A106" s="8">
        <v>45534</v>
      </c>
      <c r="B106" s="2">
        <v>550.89038100000005</v>
      </c>
      <c r="C106" s="2">
        <v>66.446029699999997</v>
      </c>
      <c r="D106" s="2">
        <v>89.326667799999996</v>
      </c>
    </row>
    <row r="107" spans="1:4" ht="15">
      <c r="A107" s="8">
        <v>45565</v>
      </c>
      <c r="B107" s="2">
        <v>562.86181599999998</v>
      </c>
      <c r="C107" s="2">
        <v>68.115394600000002</v>
      </c>
      <c r="D107" s="2">
        <v>90.561584499999995</v>
      </c>
    </row>
    <row r="108" spans="1:4" ht="15">
      <c r="A108" s="8">
        <v>45596</v>
      </c>
      <c r="B108" s="2">
        <v>557.41674799999998</v>
      </c>
      <c r="C108" s="2">
        <v>65.048660299999995</v>
      </c>
      <c r="D108" s="2">
        <v>87.493934600000003</v>
      </c>
    </row>
    <row r="109" spans="1:4" ht="15">
      <c r="A109" s="8">
        <v>45625</v>
      </c>
      <c r="B109" s="2">
        <v>590.42816200000004</v>
      </c>
      <c r="C109" s="2">
        <v>64.842338600000005</v>
      </c>
      <c r="D109" s="2">
        <v>88.387168900000006</v>
      </c>
    </row>
    <row r="110" spans="1:4" ht="15">
      <c r="A110" s="8">
        <v>45657</v>
      </c>
      <c r="B110" s="2">
        <v>576.45190400000001</v>
      </c>
      <c r="C110" s="2">
        <v>63.110382100000002</v>
      </c>
      <c r="D110" s="2">
        <v>86.391052200000004</v>
      </c>
    </row>
    <row r="111" spans="1:4" ht="15">
      <c r="A111" s="8">
        <v>45688</v>
      </c>
      <c r="B111" s="2">
        <v>592.09997599999997</v>
      </c>
      <c r="C111" s="2">
        <v>65.266861000000006</v>
      </c>
      <c r="D111" s="2">
        <v>86.923698400000006</v>
      </c>
    </row>
    <row r="112" spans="1:4" ht="15">
      <c r="A112" s="8">
        <v>45716</v>
      </c>
      <c r="B112" s="2">
        <v>584.63818400000002</v>
      </c>
      <c r="C112" s="2">
        <v>66.478691100000006</v>
      </c>
      <c r="D112" s="2">
        <v>89.357307399999996</v>
      </c>
    </row>
    <row r="113" spans="1:4" ht="15">
      <c r="A113" s="8">
        <v>45747</v>
      </c>
      <c r="B113" s="2">
        <v>551.93847700000003</v>
      </c>
      <c r="C113" s="2">
        <v>66.612274200000002</v>
      </c>
      <c r="D113" s="2">
        <v>89.662849399999999</v>
      </c>
    </row>
    <row r="114" spans="1:4" ht="15">
      <c r="A114" s="8">
        <v>45777</v>
      </c>
      <c r="B114" s="2">
        <v>548.06823699999995</v>
      </c>
      <c r="C114" s="2">
        <v>68.644714399999998</v>
      </c>
      <c r="D114" s="2">
        <v>90.609809900000002</v>
      </c>
    </row>
    <row r="115" spans="1:4" ht="15">
      <c r="A115" s="8">
        <v>45807</v>
      </c>
      <c r="B115" s="2">
        <v>581.65216099999998</v>
      </c>
      <c r="C115" s="2">
        <v>71.955764799999997</v>
      </c>
      <c r="D115" s="2">
        <v>89.486610400000004</v>
      </c>
    </row>
    <row r="116" spans="1:4" ht="15">
      <c r="A116" s="8">
        <v>45838</v>
      </c>
      <c r="B116" s="2">
        <v>611.796875</v>
      </c>
      <c r="C116" s="2">
        <v>74.913650500000003</v>
      </c>
      <c r="D116" s="2">
        <v>90.920143100000004</v>
      </c>
    </row>
    <row r="117" spans="1:4" ht="15">
      <c r="A117" s="8">
        <v>45869</v>
      </c>
      <c r="B117" s="2">
        <v>625.59155299999998</v>
      </c>
      <c r="C117" s="2">
        <v>74.283805799999996</v>
      </c>
      <c r="D117" s="2">
        <v>90.380119300000004</v>
      </c>
    </row>
    <row r="118" spans="1:4" ht="15">
      <c r="A118" s="8">
        <v>45898</v>
      </c>
      <c r="B118" s="2">
        <v>638.81488000000002</v>
      </c>
      <c r="C118" s="2">
        <v>77.355545000000006</v>
      </c>
      <c r="D118" s="2">
        <v>91.869743299999996</v>
      </c>
    </row>
    <row r="119" spans="1:4" ht="15">
      <c r="A119" s="8">
        <v>45930</v>
      </c>
      <c r="B119" s="2">
        <v>661.47418200000004</v>
      </c>
      <c r="C119" s="2">
        <v>80.020301799999999</v>
      </c>
      <c r="D119" s="2">
        <v>92.467910799999999</v>
      </c>
    </row>
    <row r="120" spans="1:4" ht="15">
      <c r="A120" s="8">
        <v>45961</v>
      </c>
      <c r="B120" s="2">
        <v>677.217896</v>
      </c>
      <c r="C120" s="2">
        <v>81.3478317</v>
      </c>
      <c r="D120" s="2">
        <v>93.125618000000003</v>
      </c>
    </row>
    <row r="121" spans="1:4" ht="15">
      <c r="A121" s="8">
        <v>45989</v>
      </c>
      <c r="B121" s="2">
        <v>678.84857199999999</v>
      </c>
      <c r="C121" s="2">
        <v>81.648231499999994</v>
      </c>
      <c r="D121" s="2">
        <v>94.045822099999995</v>
      </c>
    </row>
    <row r="122" spans="1:4" ht="15">
      <c r="A122" s="8">
        <v>46022</v>
      </c>
      <c r="B122" s="2">
        <v>679.32830799999999</v>
      </c>
      <c r="C122" s="2">
        <v>83.557075499999996</v>
      </c>
      <c r="D122" s="2">
        <v>93.329948400000006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4D370-1C50-4D09-9B74-052FB194EF11}">
  <dimension ref="A1:J121"/>
  <sheetViews>
    <sheetView topLeftCell="A66" workbookViewId="0">
      <selection activeCell="D6" sqref="D6"/>
    </sheetView>
  </sheetViews>
  <sheetFormatPr defaultRowHeight="13.5"/>
  <cols>
    <col min="1" max="1" width="9.75" style="7" bestFit="1" customWidth="1"/>
    <col min="2" max="2" width="10.375" style="10" bestFit="1" customWidth="1"/>
    <col min="3" max="3" width="11.25" style="10" bestFit="1" customWidth="1"/>
    <col min="4" max="4" width="10" style="10" bestFit="1" customWidth="1"/>
    <col min="6" max="6" width="11.375" style="7" bestFit="1" customWidth="1"/>
    <col min="7" max="7" width="11" style="10" bestFit="1" customWidth="1"/>
    <col min="8" max="8" width="17.875" bestFit="1" customWidth="1"/>
    <col min="9" max="9" width="14.625" bestFit="1" customWidth="1"/>
    <col min="10" max="10" width="13.25" bestFit="1" customWidth="1"/>
  </cols>
  <sheetData>
    <row r="1" spans="1:10" s="5" customFormat="1" ht="15">
      <c r="A1" s="21" t="s">
        <v>15</v>
      </c>
      <c r="B1" s="15" t="s">
        <v>19</v>
      </c>
      <c r="C1" s="15" t="s">
        <v>20</v>
      </c>
      <c r="D1" s="15" t="s">
        <v>21</v>
      </c>
      <c r="E1" s="25"/>
      <c r="F1" s="22" t="s">
        <v>15</v>
      </c>
      <c r="G1" s="23" t="s">
        <v>22</v>
      </c>
      <c r="H1" s="11" t="s">
        <v>23</v>
      </c>
      <c r="I1" s="11" t="s">
        <v>24</v>
      </c>
      <c r="J1" s="11" t="s">
        <v>25</v>
      </c>
    </row>
    <row r="2" spans="1:10" ht="15">
      <c r="A2" s="28">
        <f>Data!A3</f>
        <v>42398</v>
      </c>
      <c r="B2" s="29">
        <f>Data!B3/Data!B2-1</f>
        <v>-5.003175865972187E-2</v>
      </c>
      <c r="C2" s="29">
        <f>Data!C3/Data!C2-1</f>
        <v>-5.618430920598616E-2</v>
      </c>
      <c r="D2" s="29">
        <f>Data!D3/Data!D2-1</f>
        <v>3.3336733432508314E-2</v>
      </c>
      <c r="E2" s="25"/>
      <c r="F2" s="8">
        <v>42398</v>
      </c>
      <c r="G2" s="14">
        <v>1E-4</v>
      </c>
      <c r="H2" s="29">
        <f>Portfolio!B2-$G2</f>
        <v>-7.2591845901019063E-4</v>
      </c>
      <c r="I2" s="29">
        <f>Portfolio!C2-$G2</f>
        <v>-1.7707244404769441E-2</v>
      </c>
      <c r="J2" s="29">
        <f>Portfolio!D2-$G2</f>
        <v>-3.4688570350528691E-2</v>
      </c>
    </row>
    <row r="3" spans="1:10" ht="15">
      <c r="A3" s="28">
        <f>Data!A4</f>
        <v>42429</v>
      </c>
      <c r="B3" s="29">
        <f>Data!B4/Data!B3-1</f>
        <v>-5.6490995990110537E-4</v>
      </c>
      <c r="C3" s="29">
        <f>Data!C4/Data!C3-1</f>
        <v>-1.927189483695313E-2</v>
      </c>
      <c r="D3" s="29">
        <f>Data!D4/Data!D3-1</f>
        <v>1.48604619205015E-2</v>
      </c>
      <c r="E3" s="25"/>
      <c r="F3" s="8">
        <v>42429</v>
      </c>
      <c r="G3" s="14">
        <v>2.0000000000000001E-4</v>
      </c>
      <c r="H3" s="29">
        <f>Portfolio!B3-$G3</f>
        <v>6.619614680635255E-3</v>
      </c>
      <c r="I3" s="29">
        <f>Portfolio!C3-$G3</f>
        <v>2.5991910607021337E-3</v>
      </c>
      <c r="J3" s="29">
        <f>Portfolio!D3-$G3</f>
        <v>-1.4212325592309898E-3</v>
      </c>
    </row>
    <row r="4" spans="1:10" ht="15">
      <c r="A4" s="28">
        <f>Data!A5</f>
        <v>42460</v>
      </c>
      <c r="B4" s="29">
        <f>Data!B5/Data!B4-1</f>
        <v>6.2413215415363599E-2</v>
      </c>
      <c r="C4" s="29">
        <f>Data!C5/Data!C4-1</f>
        <v>7.9475948309879696E-2</v>
      </c>
      <c r="D4" s="29">
        <f>Data!D5/Data!D4-1</f>
        <v>-6.6144091344566558E-4</v>
      </c>
      <c r="E4" s="25"/>
      <c r="F4" s="8">
        <v>42460</v>
      </c>
      <c r="G4" s="14">
        <v>2.0000000000000001E-4</v>
      </c>
      <c r="H4" s="29">
        <f>Portfolio!B4-$G4</f>
        <v>2.6074694907529651E-2</v>
      </c>
      <c r="I4" s="29">
        <f>Portfolio!C4-$G4</f>
        <v>3.9542762818017309E-2</v>
      </c>
      <c r="J4" s="29">
        <f>Portfolio!D4-$G4</f>
        <v>5.3010830728504967E-2</v>
      </c>
    </row>
    <row r="5" spans="1:10" ht="15">
      <c r="A5" s="28">
        <f>Data!A6</f>
        <v>42489</v>
      </c>
      <c r="B5" s="29">
        <f>Data!B6/Data!B5-1</f>
        <v>3.9197022206101106E-3</v>
      </c>
      <c r="C5" s="29">
        <f>Data!C6/Data!C5-1</f>
        <v>2.4474199890727188E-2</v>
      </c>
      <c r="D5" s="29">
        <f>Data!D6/Data!D5-1</f>
        <v>-1.5619624900891083E-3</v>
      </c>
      <c r="E5" s="25"/>
      <c r="F5" s="8">
        <v>42489</v>
      </c>
      <c r="G5" s="14">
        <v>1E-4</v>
      </c>
      <c r="H5" s="29">
        <f>Portfolio!B5-$G5</f>
        <v>2.5861531612022871E-3</v>
      </c>
      <c r="I5" s="29">
        <f>Portfolio!C5-$G5</f>
        <v>4.7102109868479847E-3</v>
      </c>
      <c r="J5" s="29">
        <f>Portfolio!D5-$G5</f>
        <v>6.8342688124936818E-3</v>
      </c>
    </row>
    <row r="6" spans="1:10" ht="15">
      <c r="A6" s="28">
        <f>Data!A7</f>
        <v>42521</v>
      </c>
      <c r="B6" s="29">
        <f>Data!B7/Data!B6-1</f>
        <v>1.6918683501915721E-2</v>
      </c>
      <c r="C6" s="29">
        <f>Data!C7/Data!C6-1</f>
        <v>-1.0463982317556964E-2</v>
      </c>
      <c r="D6" s="29">
        <f>Data!D7/Data!D6-1</f>
        <v>-9.9215427271170942E-4</v>
      </c>
      <c r="E6" s="25"/>
      <c r="F6" s="8">
        <v>42521</v>
      </c>
      <c r="G6" s="14">
        <v>1E-4</v>
      </c>
      <c r="H6" s="29">
        <f>Portfolio!B6-$G6</f>
        <v>3.3339142551919937E-3</v>
      </c>
      <c r="I6" s="29">
        <f>Portfolio!C6-$G6</f>
        <v>5.5469485191438472E-3</v>
      </c>
      <c r="J6" s="29">
        <f>Portfolio!D6-$G6</f>
        <v>7.7599827830956954E-3</v>
      </c>
    </row>
    <row r="7" spans="1:10" ht="15">
      <c r="A7" s="28">
        <f>Data!A8</f>
        <v>42551</v>
      </c>
      <c r="B7" s="29">
        <f>Data!B8/Data!B7-1</f>
        <v>2.5358812033466904E-3</v>
      </c>
      <c r="C7" s="29">
        <f>Data!C8/Data!C7-1</f>
        <v>-8.3205325934415653E-3</v>
      </c>
      <c r="D7" s="29">
        <f>Data!D8/Data!D7-1</f>
        <v>3.0876598126048371E-2</v>
      </c>
      <c r="E7" s="25"/>
      <c r="F7" s="8">
        <v>42551</v>
      </c>
      <c r="G7" s="14">
        <v>2.0000000000000001E-4</v>
      </c>
      <c r="H7" s="29">
        <f>Portfolio!B7-$G7</f>
        <v>1.8254669977288876E-2</v>
      </c>
      <c r="I7" s="29">
        <f>Portfolio!C7-$G7</f>
        <v>1.2043705902909124E-2</v>
      </c>
      <c r="J7" s="29">
        <f>Portfolio!D7-$G7</f>
        <v>5.832741828529376E-3</v>
      </c>
    </row>
    <row r="8" spans="1:10" ht="15">
      <c r="A8" s="28">
        <f>Data!A9</f>
        <v>42580</v>
      </c>
      <c r="B8" s="29">
        <f>Data!B9/Data!B8-1</f>
        <v>3.7386906954906429E-2</v>
      </c>
      <c r="C8" s="29">
        <f>Data!C9/Data!C8-1</f>
        <v>4.1462469576491356E-2</v>
      </c>
      <c r="D8" s="29">
        <f>Data!D9/Data!D8-1</f>
        <v>2.4644645635569784E-3</v>
      </c>
      <c r="E8" s="25"/>
      <c r="F8" s="8">
        <v>42580</v>
      </c>
      <c r="G8" s="14">
        <v>2.0000000000000001E-4</v>
      </c>
      <c r="H8" s="29">
        <f>Portfolio!B8-$G8</f>
        <v>1.6640997782255251E-2</v>
      </c>
      <c r="I8" s="29">
        <f>Portfolio!C8-$G8</f>
        <v>2.3829264391604391E-2</v>
      </c>
      <c r="J8" s="29">
        <f>Portfolio!D8-$G8</f>
        <v>3.1017531000953523E-2</v>
      </c>
    </row>
    <row r="9" spans="1:10" ht="15">
      <c r="A9" s="28">
        <f>Data!A10</f>
        <v>42613</v>
      </c>
      <c r="B9" s="29">
        <f>Data!B10/Data!B9-1</f>
        <v>1.2823143629334677E-3</v>
      </c>
      <c r="C9" s="29">
        <f>Data!C10/Data!C9-1</f>
        <v>5.8834026098752989E-3</v>
      </c>
      <c r="D9" s="29">
        <f>Data!D10/Data!D9-1</f>
        <v>-1.0113818581443335E-2</v>
      </c>
      <c r="E9" s="25"/>
      <c r="F9" s="8">
        <v>42613</v>
      </c>
      <c r="G9" s="14">
        <v>2.0000000000000001E-4</v>
      </c>
      <c r="H9" s="29">
        <f>Portfolio!B9-$G9</f>
        <v>-5.2952565789984299E-3</v>
      </c>
      <c r="I9" s="29">
        <f>Portfolio!C9-$G9</f>
        <v>-2.785975577775979E-3</v>
      </c>
      <c r="J9" s="29">
        <f>Portfolio!D9-$G9</f>
        <v>-2.7669457655352667E-4</v>
      </c>
    </row>
    <row r="10" spans="1:10" ht="15">
      <c r="A10" s="28">
        <f>Data!A11</f>
        <v>42643</v>
      </c>
      <c r="B10" s="29">
        <f>Data!B11/Data!B10-1</f>
        <v>6.7013994707210145E-5</v>
      </c>
      <c r="C10" s="29">
        <f>Data!C11/Data!C10-1</f>
        <v>1.8132255662764329E-2</v>
      </c>
      <c r="D10" s="29">
        <f>Data!D11/Data!D10-1</f>
        <v>2.3739951379513347E-3</v>
      </c>
      <c r="E10" s="25"/>
      <c r="F10" s="8">
        <v>42643</v>
      </c>
      <c r="G10" s="14">
        <v>2.0000000000000001E-4</v>
      </c>
      <c r="H10" s="29">
        <f>Portfolio!B10-$G10</f>
        <v>3.0577268474593967E-3</v>
      </c>
      <c r="I10" s="29">
        <f>Portfolio!C10-$G10</f>
        <v>3.4995927022134278E-3</v>
      </c>
      <c r="J10" s="29">
        <f>Portfolio!D10-$G10</f>
        <v>3.9414585569674592E-3</v>
      </c>
    </row>
    <row r="11" spans="1:10" ht="15">
      <c r="A11" s="28">
        <f>Data!A12</f>
        <v>42674</v>
      </c>
      <c r="B11" s="29">
        <f>Data!B12/Data!B11-1</f>
        <v>-1.7788572837815653E-2</v>
      </c>
      <c r="C11" s="29">
        <f>Data!C12/Data!C11-1</f>
        <v>-1.8000888089326428E-2</v>
      </c>
      <c r="D11" s="29">
        <f>Data!D12/Data!D11-1</f>
        <v>-1.4947435716499036E-2</v>
      </c>
      <c r="E11" s="25"/>
      <c r="F11" s="8">
        <v>42674</v>
      </c>
      <c r="G11" s="14">
        <v>2.0000000000000001E-4</v>
      </c>
      <c r="H11" s="29">
        <f>Portfolio!B11-$G11</f>
        <v>-1.6305122090176757E-2</v>
      </c>
      <c r="I11" s="29">
        <f>Portfolio!C11-$G11</f>
        <v>-1.688396527701562E-2</v>
      </c>
      <c r="J11" s="29">
        <f>Portfolio!D11-$G11</f>
        <v>-1.7462808463854482E-2</v>
      </c>
    </row>
    <row r="12" spans="1:10" ht="15">
      <c r="A12" s="28">
        <f>Data!A13</f>
        <v>42704</v>
      </c>
      <c r="B12" s="29">
        <f>Data!B13/Data!B12-1</f>
        <v>3.668891260273166E-2</v>
      </c>
      <c r="C12" s="29">
        <f>Data!C13/Data!C12-1</f>
        <v>-2.2815720168913645E-2</v>
      </c>
      <c r="D12" s="29">
        <f>Data!D13/Data!D12-1</f>
        <v>-4.2271777919637654E-2</v>
      </c>
      <c r="E12" s="25"/>
      <c r="F12" s="8">
        <v>42704</v>
      </c>
      <c r="G12" s="14">
        <v>1E-4</v>
      </c>
      <c r="H12" s="29">
        <f>Portfolio!B12-$G12</f>
        <v>-1.6737964987854455E-2</v>
      </c>
      <c r="I12" s="29">
        <f>Portfolio!C12-$G12</f>
        <v>-3.9210585219628625E-3</v>
      </c>
      <c r="J12" s="29">
        <f>Portfolio!D12-$G12</f>
        <v>8.8958479439287357E-3</v>
      </c>
    </row>
    <row r="13" spans="1:10" ht="15">
      <c r="A13" s="28">
        <f>Data!A14</f>
        <v>42734</v>
      </c>
      <c r="B13" s="29">
        <f>Data!B14/Data!B13-1</f>
        <v>2.1433700920598486E-2</v>
      </c>
      <c r="C13" s="29">
        <f>Data!C14/Data!C13-1</f>
        <v>1.8548644797254266E-2</v>
      </c>
      <c r="D13" s="29">
        <f>Data!D14/Data!D13-1</f>
        <v>-1.1850147093238617E-3</v>
      </c>
      <c r="E13" s="25"/>
      <c r="F13" s="8">
        <v>42734</v>
      </c>
      <c r="G13" s="14">
        <v>2.9999999999999997E-4</v>
      </c>
      <c r="H13" s="29">
        <f>Portfolio!B13-$G13</f>
        <v>7.2739659303106561E-3</v>
      </c>
      <c r="I13" s="29">
        <f>Portfolio!C13-$G13</f>
        <v>1.1653456250127914E-2</v>
      </c>
      <c r="J13" s="29">
        <f>Portfolio!D13-$G13</f>
        <v>1.603294656994517E-2</v>
      </c>
    </row>
    <row r="14" spans="1:10" ht="15">
      <c r="A14" s="28">
        <f>Data!A15</f>
        <v>42766</v>
      </c>
      <c r="B14" s="29">
        <f>Data!B15/Data!B14-1</f>
        <v>1.7511794026444871E-2</v>
      </c>
      <c r="C14" s="29">
        <f>Data!C15/Data!C14-1</f>
        <v>4.099802062894442E-2</v>
      </c>
      <c r="D14" s="29">
        <f>Data!D15/Data!D14-1</f>
        <v>2.1948149953578966E-3</v>
      </c>
      <c r="E14" s="25"/>
      <c r="F14" s="8">
        <v>42766</v>
      </c>
      <c r="G14" s="14">
        <v>4.0000000000000002E-4</v>
      </c>
      <c r="H14" s="29">
        <f>Portfolio!B14-$G14</f>
        <v>1.0270229268042642E-2</v>
      </c>
      <c r="I14" s="29">
        <f>Portfolio!C14-$G14</f>
        <v>1.4507936404385014E-2</v>
      </c>
      <c r="J14" s="29">
        <f>Portfolio!D14-$G14</f>
        <v>1.8745643540727386E-2</v>
      </c>
    </row>
    <row r="15" spans="1:10" ht="15">
      <c r="A15" s="28">
        <f>Data!A16</f>
        <v>42794</v>
      </c>
      <c r="B15" s="29">
        <f>Data!B16/Data!B15-1</f>
        <v>3.9750373347113621E-2</v>
      </c>
      <c r="C15" s="29">
        <f>Data!C16/Data!C15-1</f>
        <v>1.4459776433828564E-2</v>
      </c>
      <c r="D15" s="29">
        <f>Data!D16/Data!D15-1</f>
        <v>7.2358663879388274E-3</v>
      </c>
      <c r="E15" s="25"/>
      <c r="F15" s="8">
        <v>42794</v>
      </c>
      <c r="G15" s="14">
        <v>4.0000000000000002E-4</v>
      </c>
      <c r="H15" s="29">
        <f>Portfolio!B15-$G15</f>
        <v>1.7312609480280235E-2</v>
      </c>
      <c r="I15" s="29">
        <f>Portfolio!C15-$G15</f>
        <v>2.2550981026450947E-2</v>
      </c>
      <c r="J15" s="29">
        <f>Portfolio!D15-$G15</f>
        <v>2.7789352572621648E-2</v>
      </c>
    </row>
    <row r="16" spans="1:10" ht="15">
      <c r="A16" s="28">
        <f>Data!A17</f>
        <v>42825</v>
      </c>
      <c r="B16" s="29">
        <f>Data!B17/Data!B16-1</f>
        <v>1.1753741139446383E-3</v>
      </c>
      <c r="C16" s="29">
        <f>Data!C17/Data!C16-1</f>
        <v>2.6819271611856932E-2</v>
      </c>
      <c r="D16" s="29">
        <f>Data!D17/Data!D16-1</f>
        <v>8.0549697861731495E-4</v>
      </c>
      <c r="E16" s="25"/>
      <c r="F16" s="8">
        <v>42825</v>
      </c>
      <c r="G16" s="14">
        <v>2.9999999999999997E-4</v>
      </c>
      <c r="H16" s="29">
        <f>Portfolio!B16-$G16</f>
        <v>3.217837582539474E-3</v>
      </c>
      <c r="I16" s="29">
        <f>Portfolio!C16-$G16</f>
        <v>4.5740078845005533E-3</v>
      </c>
      <c r="J16" s="29">
        <f>Portfolio!D16-$G16</f>
        <v>5.930178186461633E-3</v>
      </c>
    </row>
    <row r="17" spans="1:10" ht="15">
      <c r="A17" s="28">
        <f>Data!A18</f>
        <v>42853</v>
      </c>
      <c r="B17" s="29">
        <f>Data!B18/Data!B17-1</f>
        <v>9.651323526232547E-3</v>
      </c>
      <c r="C17" s="29">
        <f>Data!C18/Data!C17-1</f>
        <v>2.3561530147157672E-2</v>
      </c>
      <c r="D17" s="29">
        <f>Data!D18/Data!D17-1</f>
        <v>1.1087194917848597E-2</v>
      </c>
      <c r="E17" s="25"/>
      <c r="F17" s="8">
        <v>42853</v>
      </c>
      <c r="G17" s="14">
        <v>5.0000000000000001E-4</v>
      </c>
      <c r="H17" s="29">
        <f>Portfolio!B17-$G17</f>
        <v>1.1403867023294691E-2</v>
      </c>
      <c r="I17" s="29">
        <f>Portfolio!C17-$G17</f>
        <v>1.1812203076017734E-2</v>
      </c>
      <c r="J17" s="29">
        <f>Portfolio!D17-$G17</f>
        <v>1.2220539128740783E-2</v>
      </c>
    </row>
    <row r="18" spans="1:10" ht="15">
      <c r="A18" s="28">
        <f>Data!A19</f>
        <v>42886</v>
      </c>
      <c r="B18" s="29">
        <f>Data!B19/Data!B18-1</f>
        <v>1.3942023392316427E-2</v>
      </c>
      <c r="C18" s="29">
        <f>Data!C19/Data!C18-1</f>
        <v>2.8194211128561353E-2</v>
      </c>
      <c r="D18" s="29">
        <f>Data!D19/Data!D18-1</f>
        <v>8.2679865821382315E-3</v>
      </c>
      <c r="E18" s="25"/>
      <c r="F18" s="8">
        <v>42886</v>
      </c>
      <c r="G18" s="14">
        <v>5.9999999999999995E-4</v>
      </c>
      <c r="H18" s="29">
        <f>Portfolio!B18-$G18</f>
        <v>1.1362820079834003E-2</v>
      </c>
      <c r="I18" s="29">
        <f>Portfolio!C18-$G18</f>
        <v>1.3210236828681887E-2</v>
      </c>
      <c r="J18" s="29">
        <f>Portfolio!D18-$G18</f>
        <v>1.5057653577529775E-2</v>
      </c>
    </row>
    <row r="19" spans="1:10" ht="15">
      <c r="A19" s="28">
        <f>Data!A20</f>
        <v>42916</v>
      </c>
      <c r="B19" s="29">
        <f>Data!B20/Data!B19-1</f>
        <v>6.6708381838858077E-3</v>
      </c>
      <c r="C19" s="29">
        <f>Data!C20/Data!C19-1</f>
        <v>8.2572224550008233E-3</v>
      </c>
      <c r="D19" s="29">
        <f>Data!D20/Data!D19-1</f>
        <v>-5.0950747057317836E-3</v>
      </c>
      <c r="E19" s="25"/>
      <c r="F19" s="8">
        <v>42916</v>
      </c>
      <c r="G19" s="14">
        <v>5.9999999999999995E-4</v>
      </c>
      <c r="H19" s="29">
        <f>Portfolio!B19-$G19</f>
        <v>-8.3007112277324517E-4</v>
      </c>
      <c r="I19" s="29">
        <f>Portfolio!C19-$G19</f>
        <v>1.6024306687060235E-3</v>
      </c>
      <c r="J19" s="29">
        <f>Portfolio!D19-$G19</f>
        <v>4.0349324601852933E-3</v>
      </c>
    </row>
    <row r="20" spans="1:10" ht="15">
      <c r="A20" s="28">
        <f>Data!A21</f>
        <v>42947</v>
      </c>
      <c r="B20" s="29">
        <f>Data!B21/Data!B20-1</f>
        <v>2.0746932153488773E-2</v>
      </c>
      <c r="C20" s="29">
        <f>Data!C21/Data!C20-1</f>
        <v>3.5564978573333184E-2</v>
      </c>
      <c r="D20" s="29">
        <f>Data!D21/Data!D20-1</f>
        <v>3.747977792522672E-3</v>
      </c>
      <c r="E20" s="25"/>
      <c r="F20" s="8">
        <v>42947</v>
      </c>
      <c r="G20" s="14">
        <v>6.9999999999999999E-4</v>
      </c>
      <c r="H20" s="29">
        <f>Portfolio!B20-$G20</f>
        <v>1.1329364178893554E-2</v>
      </c>
      <c r="I20" s="29">
        <f>Portfolio!C20-$G20</f>
        <v>1.5470057372078995E-2</v>
      </c>
      <c r="J20" s="29">
        <f>Portfolio!D20-$G20</f>
        <v>1.9610750565264436E-2</v>
      </c>
    </row>
    <row r="21" spans="1:10" ht="15">
      <c r="A21" s="28">
        <f>Data!A22</f>
        <v>42978</v>
      </c>
      <c r="B21" s="29">
        <f>Data!B22/Data!B21-1</f>
        <v>2.7368221019552497E-3</v>
      </c>
      <c r="C21" s="29">
        <f>Data!C22/Data!C21-1</f>
        <v>6.9025192259157819E-3</v>
      </c>
      <c r="D21" s="29">
        <f>Data!D22/Data!D21-1</f>
        <v>1.4575549648718544E-2</v>
      </c>
      <c r="E21" s="25"/>
      <c r="F21" s="8">
        <v>42978</v>
      </c>
      <c r="G21" s="14">
        <v>8.9999999999999998E-4</v>
      </c>
      <c r="H21" s="29">
        <f>Portfolio!B21-$G21</f>
        <v>9.3566283424092803E-3</v>
      </c>
      <c r="I21" s="29">
        <f>Portfolio!C21-$G21</f>
        <v>7.197167689254649E-3</v>
      </c>
      <c r="J21" s="29">
        <f>Portfolio!D21-$G21</f>
        <v>5.037707036100016E-3</v>
      </c>
    </row>
    <row r="22" spans="1:10" ht="15">
      <c r="A22" s="28">
        <f>Data!A23</f>
        <v>43007</v>
      </c>
      <c r="B22" s="29">
        <f>Data!B23/Data!B22-1</f>
        <v>2.0413785673392137E-2</v>
      </c>
      <c r="C22" s="29">
        <f>Data!C23/Data!C22-1</f>
        <v>1.9561563129536497E-2</v>
      </c>
      <c r="D22" s="29">
        <f>Data!D23/Data!D22-1</f>
        <v>-1.4414900281630283E-2</v>
      </c>
      <c r="E22" s="25"/>
      <c r="F22" s="8">
        <v>43007</v>
      </c>
      <c r="G22" s="14">
        <v>8.9999999999999998E-4</v>
      </c>
      <c r="H22" s="29">
        <f>Portfolio!B22-$G22</f>
        <v>-1.4686481540068781E-3</v>
      </c>
      <c r="I22" s="29">
        <f>Portfolio!C22-$G22</f>
        <v>5.4544779098048227E-3</v>
      </c>
      <c r="J22" s="29">
        <f>Portfolio!D22-$G22</f>
        <v>1.2377603973616525E-2</v>
      </c>
    </row>
    <row r="23" spans="1:10" ht="15">
      <c r="A23" s="28">
        <f>Data!A24</f>
        <v>43039</v>
      </c>
      <c r="B23" s="29">
        <f>Data!B24/Data!B23-1</f>
        <v>2.3247830734665298E-2</v>
      </c>
      <c r="C23" s="29">
        <f>Data!C24/Data!C23-1</f>
        <v>1.9842659392953932E-2</v>
      </c>
      <c r="D23" s="29">
        <f>Data!D24/Data!D23-1</f>
        <v>-1.890295211084192E-3</v>
      </c>
      <c r="E23" s="25"/>
      <c r="F23" s="8">
        <v>43039</v>
      </c>
      <c r="G23" s="14">
        <v>8.9999999999999998E-4</v>
      </c>
      <c r="H23" s="29">
        <f>Portfolio!B23-$G23</f>
        <v>6.924438033044468E-3</v>
      </c>
      <c r="I23" s="29">
        <f>Portfolio!C23-$G23</f>
        <v>1.1781804655108797E-2</v>
      </c>
      <c r="J23" s="29">
        <f>Portfolio!D23-$G23</f>
        <v>1.6639171277173126E-2</v>
      </c>
    </row>
    <row r="24" spans="1:10" ht="15">
      <c r="A24" s="28">
        <f>Data!A25</f>
        <v>43069</v>
      </c>
      <c r="B24" s="29">
        <f>Data!B25/Data!B24-1</f>
        <v>3.1219739620206077E-2</v>
      </c>
      <c r="C24" s="29">
        <f>Data!C25/Data!C24-1</f>
        <v>5.7885451142842825E-3</v>
      </c>
      <c r="D24" s="29">
        <f>Data!D25/Data!D24-1</f>
        <v>-2.7924239243009019E-3</v>
      </c>
      <c r="E24" s="25"/>
      <c r="F24" s="8">
        <v>43069</v>
      </c>
      <c r="G24" s="14">
        <v>8.0000000000000004E-4</v>
      </c>
      <c r="H24" s="29">
        <f>Portfolio!B24-$G24</f>
        <v>7.4693220429097075E-3</v>
      </c>
      <c r="I24" s="29">
        <f>Portfolio!C24-$G24</f>
        <v>1.3000195026515018E-2</v>
      </c>
      <c r="J24" s="29">
        <f>Portfolio!D24-$G24</f>
        <v>1.8531068010120319E-2</v>
      </c>
    </row>
    <row r="25" spans="1:10" ht="15">
      <c r="A25" s="28">
        <f>Data!A26</f>
        <v>43098</v>
      </c>
      <c r="B25" s="29">
        <f>Data!B26/Data!B25-1</f>
        <v>1.208974398182594E-2</v>
      </c>
      <c r="C25" s="29">
        <f>Data!C26/Data!C25-1</f>
        <v>2.1076652053869882E-2</v>
      </c>
      <c r="D25" s="29">
        <f>Data!D26/Data!D25-1</f>
        <v>1.8474258421308232E-3</v>
      </c>
      <c r="E25" s="25"/>
      <c r="F25" s="8">
        <v>43098</v>
      </c>
      <c r="G25" s="14">
        <v>8.9999999999999998E-4</v>
      </c>
      <c r="H25" s="29">
        <f>Portfolio!B25-$G25</f>
        <v>5.943043905213264E-3</v>
      </c>
      <c r="I25" s="29">
        <f>Portfolio!C25-$G25</f>
        <v>8.4408529367544852E-3</v>
      </c>
      <c r="J25" s="29">
        <f>Portfolio!D25-$G25</f>
        <v>1.0938661968295705E-2</v>
      </c>
    </row>
    <row r="26" spans="1:10" ht="15">
      <c r="A26" s="28">
        <f>Data!A27</f>
        <v>43131</v>
      </c>
      <c r="B26" s="29">
        <f>Data!B27/Data!B26-1</f>
        <v>5.6908897536454228E-2</v>
      </c>
      <c r="C26" s="29">
        <f>Data!C27/Data!C26-1</f>
        <v>5.5802541982518106E-2</v>
      </c>
      <c r="D26" s="29">
        <f>Data!D27/Data!D26-1</f>
        <v>-2.1501969968637513E-2</v>
      </c>
      <c r="E26" s="25"/>
      <c r="F26" s="8">
        <v>43131</v>
      </c>
      <c r="G26" s="14">
        <v>1.1000000000000001E-3</v>
      </c>
      <c r="H26" s="29">
        <f>Portfolio!B26-$G26</f>
        <v>8.6517414780055701E-3</v>
      </c>
      <c r="I26" s="29">
        <f>Portfolio!C26-$G26</f>
        <v>2.427859720132711E-2</v>
      </c>
      <c r="J26" s="29">
        <f>Portfolio!D26-$G26</f>
        <v>3.9905452924648657E-2</v>
      </c>
    </row>
    <row r="27" spans="1:10" ht="15">
      <c r="A27" s="28">
        <f>Data!A28</f>
        <v>43159</v>
      </c>
      <c r="B27" s="29">
        <f>Data!B28/Data!B27-1</f>
        <v>-3.8043425249105534E-2</v>
      </c>
      <c r="C27" s="29">
        <f>Data!C28/Data!C27-1</f>
        <v>-5.0300304032083965E-2</v>
      </c>
      <c r="D27" s="29">
        <f>Data!D28/Data!D27-1</f>
        <v>-9.3282743528927403E-3</v>
      </c>
      <c r="E27" s="25"/>
      <c r="F27" s="8">
        <v>43159</v>
      </c>
      <c r="G27" s="14">
        <v>1.1000000000000001E-3</v>
      </c>
      <c r="H27" s="29">
        <f>Portfolio!B27-$G27</f>
        <v>-2.31400225896757E-2</v>
      </c>
      <c r="I27" s="29">
        <f>Portfolio!C27-$G27</f>
        <v>-2.9495896708067178E-2</v>
      </c>
      <c r="J27" s="29">
        <f>Portfolio!D27-$G27</f>
        <v>-3.5851770826458657E-2</v>
      </c>
    </row>
    <row r="28" spans="1:10" ht="15">
      <c r="A28" s="28">
        <f>Data!A29</f>
        <v>43188</v>
      </c>
      <c r="B28" s="29">
        <f>Data!B29/Data!B28-1</f>
        <v>-2.4776292919740928E-2</v>
      </c>
      <c r="C28" s="29">
        <f>Data!C29/Data!C28-1</f>
        <v>-3.3201637068384082E-3</v>
      </c>
      <c r="D28" s="29">
        <f>Data!D29/Data!D28-1</f>
        <v>1.1557970366718795E-2</v>
      </c>
      <c r="E28" s="25"/>
      <c r="F28" s="8">
        <v>43188</v>
      </c>
      <c r="G28" s="14">
        <v>1.1999999999999999E-3</v>
      </c>
      <c r="H28" s="29">
        <f>Portfolio!B28-$G28</f>
        <v>-2.0301220265748418E-3</v>
      </c>
      <c r="I28" s="29">
        <f>Portfolio!C28-$G28</f>
        <v>-8.2241682232216604E-3</v>
      </c>
      <c r="J28" s="29">
        <f>Portfolio!D28-$G28</f>
        <v>-1.4418214419868479E-2</v>
      </c>
    </row>
    <row r="29" spans="1:10" ht="15">
      <c r="A29" s="28">
        <f>Data!A30</f>
        <v>43220</v>
      </c>
      <c r="B29" s="29">
        <f>Data!B30/Data!B29-1</f>
        <v>3.5421696378534762E-3</v>
      </c>
      <c r="C29" s="29">
        <f>Data!C30/Data!C29-1</f>
        <v>4.4415291564980919E-3</v>
      </c>
      <c r="D29" s="29">
        <f>Data!D30/Data!D29-1</f>
        <v>-1.2765677899288508E-2</v>
      </c>
      <c r="E29" s="25"/>
      <c r="F29" s="8">
        <v>43220</v>
      </c>
      <c r="G29" s="14">
        <v>1.4E-3</v>
      </c>
      <c r="H29" s="29">
        <f>Portfolio!B29-$G29</f>
        <v>-7.5526029325672529E-3</v>
      </c>
      <c r="I29" s="29">
        <f>Portfolio!C29-$G29</f>
        <v>-4.2460654492066253E-3</v>
      </c>
      <c r="J29" s="29">
        <f>Portfolio!D29-$G29</f>
        <v>-9.3952796584599748E-4</v>
      </c>
    </row>
    <row r="30" spans="1:10" ht="15">
      <c r="A30" s="28">
        <f>Data!A31</f>
        <v>43251</v>
      </c>
      <c r="B30" s="29">
        <f>Data!B31/Data!B30-1</f>
        <v>2.410739862026734E-2</v>
      </c>
      <c r="C30" s="29">
        <f>Data!C31/Data!C30-1</f>
        <v>-1.5634777053457061E-2</v>
      </c>
      <c r="D30" s="29">
        <f>Data!D31/Data!D30-1</f>
        <v>9.8617096425759332E-3</v>
      </c>
      <c r="E30" s="25"/>
      <c r="F30" s="8">
        <v>43251</v>
      </c>
      <c r="G30" s="14">
        <v>1.4E-3</v>
      </c>
      <c r="H30" s="29">
        <f>Portfolio!B30-$G30</f>
        <v>1.0185767666280056E-2</v>
      </c>
      <c r="I30" s="29">
        <f>Portfolio!C30-$G30</f>
        <v>1.1047796678132117E-2</v>
      </c>
      <c r="J30" s="29">
        <f>Portfolio!D30-$G30</f>
        <v>1.1909825689984178E-2</v>
      </c>
    </row>
    <row r="31" spans="1:10" ht="15">
      <c r="A31" s="28">
        <f>Data!A32</f>
        <v>43280</v>
      </c>
      <c r="B31" s="29">
        <f>Data!B32/Data!B31-1</f>
        <v>5.8739642035559037E-3</v>
      </c>
      <c r="C31" s="29">
        <f>Data!C32/Data!C31-1</f>
        <v>-2.1234789653229225E-2</v>
      </c>
      <c r="D31" s="29">
        <f>Data!D32/Data!D31-1</f>
        <v>1.974180273301096E-3</v>
      </c>
      <c r="E31" s="25"/>
      <c r="F31" s="8">
        <v>43280</v>
      </c>
      <c r="G31" s="14">
        <v>1.4E-3</v>
      </c>
      <c r="H31" s="29">
        <f>Portfolio!B31-$G31</f>
        <v>-5.76781540275494E-4</v>
      </c>
      <c r="I31" s="29">
        <f>Portfolio!C31-$G31</f>
        <v>-1.1522624470637884E-3</v>
      </c>
      <c r="J31" s="29">
        <f>Portfolio!D31-$G31</f>
        <v>-1.7277433538520838E-3</v>
      </c>
    </row>
    <row r="32" spans="1:10" ht="15">
      <c r="A32" s="28">
        <f>Data!A33</f>
        <v>43312</v>
      </c>
      <c r="B32" s="29">
        <f>Data!B33/Data!B32-1</f>
        <v>3.7465932073520225E-2</v>
      </c>
      <c r="C32" s="29">
        <f>Data!C33/Data!C32-1</f>
        <v>2.3781835075297408E-2</v>
      </c>
      <c r="D32" s="29">
        <f>Data!D33/Data!D32-1</f>
        <v>-5.2775691463787799E-3</v>
      </c>
      <c r="E32" s="25"/>
      <c r="F32" s="8">
        <v>43312</v>
      </c>
      <c r="G32" s="14">
        <v>1.6000000000000001E-3</v>
      </c>
      <c r="H32" s="29">
        <f>Portfolio!B32-$G32</f>
        <v>8.8514216417585386E-3</v>
      </c>
      <c r="I32" s="29">
        <f>Portfolio!C32-$G32</f>
        <v>1.6715917035827196E-2</v>
      </c>
      <c r="J32" s="29">
        <f>Portfolio!D32-$G32</f>
        <v>2.4580412429895858E-2</v>
      </c>
    </row>
    <row r="33" spans="1:10" ht="15">
      <c r="A33" s="28">
        <f>Data!A34</f>
        <v>43343</v>
      </c>
      <c r="B33" s="29">
        <f>Data!B34/Data!B33-1</f>
        <v>3.2335708673852714E-2</v>
      </c>
      <c r="C33" s="29">
        <f>Data!C34/Data!C33-1</f>
        <v>-2.2417257551873737E-2</v>
      </c>
      <c r="D33" s="29">
        <f>Data!D34/Data!D33-1</f>
        <v>1.01402340499821E-2</v>
      </c>
      <c r="E33" s="25"/>
      <c r="F33" s="8">
        <v>43343</v>
      </c>
      <c r="G33" s="14">
        <v>1.6000000000000001E-3</v>
      </c>
      <c r="H33" s="29">
        <f>Portfolio!B33-$G33</f>
        <v>1.1943127276957698E-2</v>
      </c>
      <c r="I33" s="29">
        <f>Portfolio!C33-$G33</f>
        <v>1.3644573890445502E-2</v>
      </c>
      <c r="J33" s="29">
        <f>Portfolio!D33-$G33</f>
        <v>1.5346020503933296E-2</v>
      </c>
    </row>
    <row r="34" spans="1:10" ht="15">
      <c r="A34" s="28">
        <f>Data!A35</f>
        <v>43371</v>
      </c>
      <c r="B34" s="29">
        <f>Data!B35/Data!B34-1</f>
        <v>5.3561846636185351E-3</v>
      </c>
      <c r="C34" s="29">
        <f>Data!C35/Data!C34-1</f>
        <v>2.1603993940588762E-3</v>
      </c>
      <c r="D34" s="29">
        <f>Data!D35/Data!D34-1</f>
        <v>-1.2050332017863541E-2</v>
      </c>
      <c r="E34" s="25"/>
      <c r="F34" s="8">
        <v>43371</v>
      </c>
      <c r="G34" s="14">
        <v>1.5E-3</v>
      </c>
      <c r="H34" s="29">
        <f>Portfolio!B34-$G34</f>
        <v>-6.9073038722266764E-3</v>
      </c>
      <c r="I34" s="29">
        <f>Portfolio!C34-$G34</f>
        <v>-3.5857897994082447E-3</v>
      </c>
      <c r="J34" s="29">
        <f>Portfolio!D34-$G34</f>
        <v>-2.642757265898122E-4</v>
      </c>
    </row>
    <row r="35" spans="1:10" ht="15">
      <c r="A35" s="28">
        <f>Data!A36</f>
        <v>43404</v>
      </c>
      <c r="B35" s="29">
        <f>Data!B36/Data!B35-1</f>
        <v>-6.8219928086111326E-2</v>
      </c>
      <c r="C35" s="29">
        <f>Data!C36/Data!C35-1</f>
        <v>-8.3402673562256169E-2</v>
      </c>
      <c r="D35" s="29">
        <f>Data!D36/Data!D35-1</f>
        <v>-3.0308919098731568E-3</v>
      </c>
      <c r="E35" s="25"/>
      <c r="F35" s="8">
        <v>43404</v>
      </c>
      <c r="G35" s="14">
        <v>1.9E-3</v>
      </c>
      <c r="H35" s="29">
        <f>Portfolio!B35-$G35</f>
        <v>-3.2524780927982909E-2</v>
      </c>
      <c r="I35" s="29">
        <f>Portfolio!C35-$G35</f>
        <v>-4.6321725437037789E-2</v>
      </c>
      <c r="J35" s="29">
        <f>Portfolio!D35-$G35</f>
        <v>-6.0118669946092655E-2</v>
      </c>
    </row>
    <row r="36" spans="1:10" ht="15">
      <c r="A36" s="28">
        <f>Data!A37</f>
        <v>43434</v>
      </c>
      <c r="B36" s="29">
        <f>Data!B37/Data!B36-1</f>
        <v>1.9210626358235006E-2</v>
      </c>
      <c r="C36" s="29">
        <f>Data!C37/Data!C36-1</f>
        <v>1.1939443545445405E-2</v>
      </c>
      <c r="D36" s="29">
        <f>Data!D37/Data!D36-1</f>
        <v>1.3301142992034887E-2</v>
      </c>
      <c r="E36" s="25"/>
      <c r="F36" s="8">
        <v>43434</v>
      </c>
      <c r="G36" s="14">
        <v>1.8E-3</v>
      </c>
      <c r="H36" s="29">
        <f>Portfolio!B36-$G36</f>
        <v>1.3137818057235975E-2</v>
      </c>
      <c r="I36" s="29">
        <f>Portfolio!C36-$G36</f>
        <v>1.3956155589836521E-2</v>
      </c>
      <c r="J36" s="29">
        <f>Portfolio!D36-$G36</f>
        <v>1.4774493122437064E-2</v>
      </c>
    </row>
    <row r="37" spans="1:10" ht="15">
      <c r="A37" s="28">
        <f>Data!A38</f>
        <v>43465</v>
      </c>
      <c r="B37" s="29">
        <f>Data!B38/Data!B37-1</f>
        <v>-8.8753212369017453E-2</v>
      </c>
      <c r="C37" s="29">
        <f>Data!C38/Data!C37-1</f>
        <v>-4.8730898973112002E-2</v>
      </c>
      <c r="D37" s="29">
        <f>Data!D38/Data!D37-1</f>
        <v>2.8042142654409741E-2</v>
      </c>
      <c r="E37" s="25"/>
      <c r="F37" s="8">
        <v>43465</v>
      </c>
      <c r="G37" s="14">
        <v>1.9E-3</v>
      </c>
      <c r="H37" s="29">
        <f>Portfolio!B37-$G37</f>
        <v>-1.6573768015370589E-2</v>
      </c>
      <c r="I37" s="29">
        <f>Portfolio!C37-$G37</f>
        <v>-3.7931723350260758E-2</v>
      </c>
      <c r="J37" s="29">
        <f>Portfolio!D37-$G37</f>
        <v>-5.9289678685150921E-2</v>
      </c>
    </row>
    <row r="38" spans="1:10" ht="15">
      <c r="A38" s="28">
        <f>Data!A39</f>
        <v>43496</v>
      </c>
      <c r="B38" s="29">
        <f>Data!B39/Data!B38-1</f>
        <v>7.924968161082635E-2</v>
      </c>
      <c r="C38" s="29">
        <f>Data!C39/Data!C38-1</f>
        <v>7.7860042688831621E-2</v>
      </c>
      <c r="D38" s="29">
        <f>Data!D39/Data!D38-1</f>
        <v>6.5260009923722162E-3</v>
      </c>
      <c r="E38" s="25"/>
      <c r="F38" s="8">
        <v>43496</v>
      </c>
      <c r="G38" s="14">
        <v>2.0999999999999999E-3</v>
      </c>
      <c r="H38" s="29">
        <f>Portfolio!B38-$G38</f>
        <v>3.3376509347554394E-2</v>
      </c>
      <c r="I38" s="29">
        <f>Portfolio!C38-$G38</f>
        <v>4.7851763525145488E-2</v>
      </c>
      <c r="J38" s="29">
        <f>Portfolio!D38-$G38</f>
        <v>6.2327017702736569E-2</v>
      </c>
    </row>
    <row r="39" spans="1:10" ht="15">
      <c r="A39" s="28">
        <f>Data!A40</f>
        <v>43524</v>
      </c>
      <c r="B39" s="29">
        <f>Data!B40/Data!B39-1</f>
        <v>3.2296054189497214E-2</v>
      </c>
      <c r="C39" s="29">
        <f>Data!C40/Data!C39-1</f>
        <v>1.5542364291836863E-2</v>
      </c>
      <c r="D39" s="29">
        <f>Data!D40/Data!D39-1</f>
        <v>-5.2552638504074212E-3</v>
      </c>
      <c r="E39" s="25"/>
      <c r="F39" s="8">
        <v>43524</v>
      </c>
      <c r="G39" s="14">
        <v>1.8E-3</v>
      </c>
      <c r="H39" s="29">
        <f>Portfolio!B39-$G39</f>
        <v>6.2898943757883994E-3</v>
      </c>
      <c r="I39" s="29">
        <f>Portfolio!C39-$G39</f>
        <v>1.2962473488886307E-2</v>
      </c>
      <c r="J39" s="29">
        <f>Portfolio!D39-$G39</f>
        <v>1.9635052601984219E-2</v>
      </c>
    </row>
    <row r="40" spans="1:10" ht="15">
      <c r="A40" s="28">
        <f>Data!A41</f>
        <v>43553</v>
      </c>
      <c r="B40" s="29">
        <f>Data!B41/Data!B40-1</f>
        <v>1.9158743364920294E-2</v>
      </c>
      <c r="C40" s="29">
        <f>Data!C41/Data!C40-1</f>
        <v>9.9129880365833589E-3</v>
      </c>
      <c r="D40" s="29">
        <f>Data!D41/Data!D40-1</f>
        <v>2.6551668976337872E-2</v>
      </c>
      <c r="E40" s="25"/>
      <c r="F40" s="8">
        <v>43553</v>
      </c>
      <c r="G40" s="14">
        <v>1.9E-3</v>
      </c>
      <c r="H40" s="29">
        <f>Portfolio!B40-$G40</f>
        <v>2.0769923198937147E-2</v>
      </c>
      <c r="I40" s="29">
        <f>Portfolio!C40-$G40</f>
        <v>1.8829050310236788E-2</v>
      </c>
      <c r="J40" s="29">
        <f>Portfolio!D40-$G40</f>
        <v>1.6888177421536421E-2</v>
      </c>
    </row>
    <row r="41" spans="1:10" ht="15">
      <c r="A41" s="28">
        <f>Data!A42</f>
        <v>43585</v>
      </c>
      <c r="B41" s="29">
        <f>Data!B42/Data!B41-1</f>
        <v>3.9991698606516302E-2</v>
      </c>
      <c r="C41" s="29">
        <f>Data!C42/Data!C41-1</f>
        <v>2.7036375734748486E-2</v>
      </c>
      <c r="D41" s="29">
        <f>Data!D42/Data!D41-1</f>
        <v>-5.1852820479741935E-3</v>
      </c>
      <c r="E41" s="25"/>
      <c r="F41" s="8">
        <v>43585</v>
      </c>
      <c r="G41" s="14">
        <v>2.0999999999999999E-3</v>
      </c>
      <c r="H41" s="29">
        <f>Portfolio!B41-$G41</f>
        <v>9.4899779266452242E-3</v>
      </c>
      <c r="I41" s="29">
        <f>Portfolio!C41-$G41</f>
        <v>1.7877607913954929E-2</v>
      </c>
      <c r="J41" s="29">
        <f>Portfolio!D41-$G41</f>
        <v>2.626523790126464E-2</v>
      </c>
    </row>
    <row r="42" spans="1:10" ht="15">
      <c r="A42" s="28">
        <f>Data!A43</f>
        <v>43616</v>
      </c>
      <c r="B42" s="29">
        <f>Data!B43/Data!B42-1</f>
        <v>-6.2986013181851708E-2</v>
      </c>
      <c r="C42" s="29">
        <f>Data!C43/Data!C42-1</f>
        <v>-5.4326120283216373E-2</v>
      </c>
      <c r="D42" s="29">
        <f>Data!D43/Data!D42-1</f>
        <v>3.0485641606675662E-2</v>
      </c>
      <c r="E42" s="25"/>
      <c r="F42" s="8">
        <v>43616</v>
      </c>
      <c r="G42" s="14">
        <v>2.0999999999999999E-3</v>
      </c>
      <c r="H42" s="29">
        <f>Portfolio!B42-$G42</f>
        <v>-8.1370310188717491E-3</v>
      </c>
      <c r="I42" s="29">
        <f>Portfolio!C42-$G42</f>
        <v>-2.6398367331645464E-2</v>
      </c>
      <c r="J42" s="29">
        <f>Portfolio!D42-$G42</f>
        <v>-4.4659703644419159E-2</v>
      </c>
    </row>
    <row r="43" spans="1:10" ht="15">
      <c r="A43" s="28">
        <f>Data!A44</f>
        <v>43644</v>
      </c>
      <c r="B43" s="29">
        <f>Data!B44/Data!B43-1</f>
        <v>6.945703195051478E-2</v>
      </c>
      <c r="C43" s="29">
        <f>Data!C44/Data!C43-1</f>
        <v>5.6909414390450497E-2</v>
      </c>
      <c r="D43" s="29">
        <f>Data!D44/Data!D43-1</f>
        <v>1.2171537018216494E-2</v>
      </c>
      <c r="E43" s="25"/>
      <c r="F43" s="8">
        <v>43644</v>
      </c>
      <c r="G43" s="14">
        <v>1.8E-3</v>
      </c>
      <c r="H43" s="29">
        <f>Portfolio!B43-$G43</f>
        <v>3.2030973235129379E-2</v>
      </c>
      <c r="I43" s="29">
        <f>Portfolio!C43-$G43</f>
        <v>4.2860691343585826E-2</v>
      </c>
      <c r="J43" s="29">
        <f>Portfolio!D43-$G43</f>
        <v>5.3690409452042266E-2</v>
      </c>
    </row>
    <row r="44" spans="1:10" ht="15">
      <c r="A44" s="28">
        <f>Data!A45</f>
        <v>43677</v>
      </c>
      <c r="B44" s="29">
        <f>Data!B45/Data!B44-1</f>
        <v>1.5199413909485537E-2</v>
      </c>
      <c r="C44" s="29">
        <f>Data!C45/Data!C44-1</f>
        <v>-1.7735136770721804E-2</v>
      </c>
      <c r="D44" s="29">
        <f>Data!D45/Data!D44-1</f>
        <v>3.823793895931793E-4</v>
      </c>
      <c r="E44" s="25"/>
      <c r="F44" s="8">
        <v>43677</v>
      </c>
      <c r="G44" s="14">
        <v>1.9E-3</v>
      </c>
      <c r="H44" s="29">
        <f>Portfolio!B44-$G44</f>
        <v>1.1157381295293881E-3</v>
      </c>
      <c r="I44" s="29">
        <f>Portfolio!C44-$G44</f>
        <v>2.4324174994974929E-3</v>
      </c>
      <c r="J44" s="29">
        <f>Portfolio!D44-$G44</f>
        <v>3.7490968694655971E-3</v>
      </c>
    </row>
    <row r="45" spans="1:10" ht="15">
      <c r="A45" s="28">
        <f>Data!A46</f>
        <v>43707</v>
      </c>
      <c r="B45" s="29">
        <f>Data!B46/Data!B45-1</f>
        <v>-1.6576175960648531E-2</v>
      </c>
      <c r="C45" s="29">
        <f>Data!C46/Data!C45-1</f>
        <v>-2.2916795254897648E-2</v>
      </c>
      <c r="D45" s="29">
        <f>Data!D46/Data!D45-1</f>
        <v>3.9516368488579756E-2</v>
      </c>
      <c r="E45" s="25"/>
      <c r="F45" s="8">
        <v>43707</v>
      </c>
      <c r="G45" s="14">
        <v>1.6000000000000001E-3</v>
      </c>
      <c r="H45" s="29">
        <f>Portfolio!B45-$G45</f>
        <v>1.484528877946353E-2</v>
      </c>
      <c r="I45" s="29">
        <f>Portfolio!C45-$G45</f>
        <v>3.3097489249054165E-3</v>
      </c>
      <c r="J45" s="29">
        <f>Portfolio!D45-$G45</f>
        <v>-8.225790929652697E-3</v>
      </c>
    </row>
    <row r="46" spans="1:10" ht="15">
      <c r="A46" s="28">
        <f>Data!A47</f>
        <v>43738</v>
      </c>
      <c r="B46" s="29">
        <f>Data!B47/Data!B46-1</f>
        <v>1.9459002500902045E-2</v>
      </c>
      <c r="C46" s="29">
        <f>Data!C47/Data!C46-1</f>
        <v>2.6297144860546684E-2</v>
      </c>
      <c r="D46" s="29">
        <f>Data!D47/Data!D46-1</f>
        <v>-1.1861062395244981E-2</v>
      </c>
      <c r="E46" s="25"/>
      <c r="F46" s="8">
        <v>43738</v>
      </c>
      <c r="G46" s="14">
        <v>1.8E-3</v>
      </c>
      <c r="H46" s="29">
        <f>Portfolio!B46-$G46</f>
        <v>-4.4922220082170691E-4</v>
      </c>
      <c r="I46" s="29">
        <f>Portfolio!C46-$G46</f>
        <v>6.1566978963899302E-3</v>
      </c>
      <c r="J46" s="29">
        <f>Portfolio!D46-$G46</f>
        <v>1.2762617993601566E-2</v>
      </c>
    </row>
    <row r="47" spans="1:10" ht="15">
      <c r="A47" s="28">
        <f>Data!A48</f>
        <v>43769</v>
      </c>
      <c r="B47" s="29">
        <f>Data!B48/Data!B47-1</f>
        <v>2.1606894336591465E-2</v>
      </c>
      <c r="C47" s="29">
        <f>Data!C48/Data!C47-1</f>
        <v>3.1509803254955226E-2</v>
      </c>
      <c r="D47" s="29">
        <f>Data!D48/Data!D47-1</f>
        <v>1.8793517087871692E-3</v>
      </c>
      <c r="E47" s="25"/>
      <c r="F47" s="8">
        <v>43769</v>
      </c>
      <c r="G47" s="14">
        <v>1.5E-3</v>
      </c>
      <c r="H47" s="29">
        <f>Portfolio!B47-$G47</f>
        <v>9.2606596517452646E-3</v>
      </c>
      <c r="I47" s="29">
        <f>Portfolio!C47-$G47</f>
        <v>1.370131362322431E-2</v>
      </c>
      <c r="J47" s="29">
        <f>Portfolio!D47-$G47</f>
        <v>1.8141967594703358E-2</v>
      </c>
    </row>
    <row r="48" spans="1:10" ht="15">
      <c r="A48" s="28">
        <f>Data!A49</f>
        <v>43798</v>
      </c>
      <c r="B48" s="29">
        <f>Data!B49/Data!B48-1</f>
        <v>3.6364487120943867E-2</v>
      </c>
      <c r="C48" s="29">
        <f>Data!C49/Data!C48-1</f>
        <v>1.1748738769787659E-2</v>
      </c>
      <c r="D48" s="29">
        <f>Data!D49/Data!D48-1</f>
        <v>-6.8715704112429776E-3</v>
      </c>
      <c r="E48" s="25"/>
      <c r="F48" s="8">
        <v>43798</v>
      </c>
      <c r="G48" s="14">
        <v>1.1999999999999999E-3</v>
      </c>
      <c r="H48" s="29">
        <f>Portfolio!B48-$G48</f>
        <v>6.7612777665161401E-3</v>
      </c>
      <c r="I48" s="29">
        <f>Portfolio!C48-$G48</f>
        <v>1.4177701855395698E-2</v>
      </c>
      <c r="J48" s="29">
        <f>Portfolio!D48-$G48</f>
        <v>2.1594125944275257E-2</v>
      </c>
    </row>
    <row r="49" spans="1:10" ht="15">
      <c r="A49" s="28">
        <f>Data!A50</f>
        <v>43830</v>
      </c>
      <c r="B49" s="29">
        <f>Data!B50/Data!B49-1</f>
        <v>2.9294062941580767E-2</v>
      </c>
      <c r="C49" s="29">
        <f>Data!C50/Data!C49-1</f>
        <v>4.335031662909028E-2</v>
      </c>
      <c r="D49" s="29">
        <f>Data!D50/Data!D49-1</f>
        <v>-9.2810172610159336E-3</v>
      </c>
      <c r="E49" s="25"/>
      <c r="F49" s="8">
        <v>43830</v>
      </c>
      <c r="G49" s="14">
        <v>1.4E-3</v>
      </c>
      <c r="H49" s="29">
        <f>Portfolio!B49-$G49</f>
        <v>6.1546401887736983E-3</v>
      </c>
      <c r="I49" s="29">
        <f>Portfolio!C49-$G49</f>
        <v>1.4572468913668512E-2</v>
      </c>
      <c r="J49" s="29">
        <f>Portfolio!D49-$G49</f>
        <v>2.2990297638563334E-2</v>
      </c>
    </row>
    <row r="50" spans="1:10" ht="15">
      <c r="A50" s="28">
        <f>Data!A51</f>
        <v>43861</v>
      </c>
      <c r="B50" s="29">
        <f>Data!B51/Data!B50-1</f>
        <v>0</v>
      </c>
      <c r="C50" s="29">
        <f>Data!C51/Data!C50-1</f>
        <v>-3.1825410210278848E-2</v>
      </c>
      <c r="D50" s="29">
        <f>Data!D51/Data!D50-1</f>
        <v>3.4658295979745901E-2</v>
      </c>
      <c r="E50" s="25"/>
      <c r="F50" s="8">
        <v>43861</v>
      </c>
      <c r="G50" s="14">
        <v>1.2999999999999999E-3</v>
      </c>
      <c r="H50" s="29">
        <f>Portfolio!B50-$G50</f>
        <v>1.6312436566819657E-2</v>
      </c>
      <c r="I50" s="29">
        <f>Portfolio!C50-$G50</f>
        <v>7.7895068603565333E-3</v>
      </c>
      <c r="J50" s="29">
        <f>Portfolio!D50-$G50</f>
        <v>-7.3342284610658937E-4</v>
      </c>
    </row>
    <row r="51" spans="1:10" ht="15">
      <c r="A51" s="28">
        <f>Data!A52</f>
        <v>43889</v>
      </c>
      <c r="B51" s="29">
        <f>Data!B52/Data!B51-1</f>
        <v>-8.4549952937695738E-2</v>
      </c>
      <c r="C51" s="29">
        <f>Data!C52/Data!C51-1</f>
        <v>-6.9914878692287186E-2</v>
      </c>
      <c r="D51" s="29">
        <f>Data!D52/Data!D51-1</f>
        <v>2.9616629418555362E-2</v>
      </c>
      <c r="E51" s="25"/>
      <c r="F51" s="8">
        <v>43889</v>
      </c>
      <c r="G51" s="14">
        <v>1.1999999999999999E-3</v>
      </c>
      <c r="H51" s="29">
        <f>Portfolio!B51-$G51</f>
        <v>-1.5786496099404225E-2</v>
      </c>
      <c r="I51" s="29">
        <f>Portfolio!C51-$G51</f>
        <v>-3.7888058858384012E-2</v>
      </c>
      <c r="J51" s="29">
        <f>Portfolio!D51-$G51</f>
        <v>-5.9989621617363813E-2</v>
      </c>
    </row>
    <row r="52" spans="1:10" ht="15">
      <c r="A52" s="28">
        <f>Data!A53</f>
        <v>43921</v>
      </c>
      <c r="B52" s="29">
        <f>Data!B53/Data!B52-1</f>
        <v>-0.12129018157269855</v>
      </c>
      <c r="C52" s="29">
        <f>Data!C53/Data!C52-1</f>
        <v>-0.1566199375722267</v>
      </c>
      <c r="D52" s="29">
        <f>Data!D53/Data!D52-1</f>
        <v>3.7227349846801649E-2</v>
      </c>
      <c r="E52" s="25"/>
      <c r="F52" s="8">
        <v>43921</v>
      </c>
      <c r="G52" s="14">
        <v>1.1999999999999999E-3</v>
      </c>
      <c r="H52" s="29">
        <f>Portfolio!B52-$G52</f>
        <v>-3.0912638320951247E-2</v>
      </c>
      <c r="I52" s="29">
        <f>Portfolio!C52-$G52</f>
        <v>-6.4382632404827694E-2</v>
      </c>
      <c r="J52" s="29">
        <f>Portfolio!D52-$G52</f>
        <v>-9.7852626488704159E-2</v>
      </c>
    </row>
    <row r="53" spans="1:10" ht="15">
      <c r="A53" s="28">
        <f>Data!A54</f>
        <v>43951</v>
      </c>
      <c r="B53" s="29">
        <f>Data!B54/Data!B53-1</f>
        <v>0.12678009407655666</v>
      </c>
      <c r="C53" s="29">
        <f>Data!C54/Data!C53-1</f>
        <v>7.1048538553024176E-2</v>
      </c>
      <c r="D53" s="29">
        <f>Data!D54/Data!D53-1</f>
        <v>2.7524587518863441E-3</v>
      </c>
      <c r="E53" s="25"/>
      <c r="F53" s="8">
        <v>43951</v>
      </c>
      <c r="G53" s="14">
        <v>0</v>
      </c>
      <c r="H53" s="29">
        <f>Portfolio!B53-$G53</f>
        <v>4.6790357329401226E-2</v>
      </c>
      <c r="I53" s="29">
        <f>Portfolio!C53-$G53</f>
        <v>6.8809306618158664E-2</v>
      </c>
      <c r="J53" s="29">
        <f>Portfolio!D53-$G53</f>
        <v>9.0828255906916108E-2</v>
      </c>
    </row>
    <row r="54" spans="1:10" ht="15">
      <c r="A54" s="28">
        <f>Data!A55</f>
        <v>43980</v>
      </c>
      <c r="B54" s="29">
        <f>Data!B55/Data!B54-1</f>
        <v>4.815243663486668E-2</v>
      </c>
      <c r="C54" s="29">
        <f>Data!C55/Data!C54-1</f>
        <v>4.8659607291998697E-2</v>
      </c>
      <c r="D54" s="29">
        <f>Data!D55/Data!D54-1</f>
        <v>3.2743851777443655E-3</v>
      </c>
      <c r="E54" s="25"/>
      <c r="F54" s="8">
        <v>43980</v>
      </c>
      <c r="G54" s="14">
        <v>1E-4</v>
      </c>
      <c r="H54" s="29">
        <f>Portfolio!B54-$G54</f>
        <v>2.1176322826306493E-2</v>
      </c>
      <c r="I54" s="29">
        <f>Portfolio!C54-$G54</f>
        <v>3.0177291650587558E-2</v>
      </c>
      <c r="J54" s="29">
        <f>Portfolio!D54-$G54</f>
        <v>3.9178260474868616E-2</v>
      </c>
    </row>
    <row r="55" spans="1:10" ht="15">
      <c r="A55" s="28">
        <f>Data!A56</f>
        <v>44012</v>
      </c>
      <c r="B55" s="29">
        <f>Data!B56/Data!B55-1</f>
        <v>1.8986140979041721E-2</v>
      </c>
      <c r="C55" s="29">
        <f>Data!C56/Data!C55-1</f>
        <v>4.2797262747485298E-2</v>
      </c>
      <c r="D55" s="29">
        <f>Data!D56/Data!D55-1</f>
        <v>4.2661904273177953E-4</v>
      </c>
      <c r="E55" s="25"/>
      <c r="F55" s="8">
        <v>44012</v>
      </c>
      <c r="G55" s="14">
        <v>1E-4</v>
      </c>
      <c r="H55" s="29">
        <f>Portfolio!B55-$G55</f>
        <v>1.0131539994100115E-2</v>
      </c>
      <c r="I55" s="29">
        <f>Portfolio!C55-$G55</f>
        <v>1.5034000469784281E-2</v>
      </c>
      <c r="J55" s="29">
        <f>Portfolio!D55-$G55</f>
        <v>1.993646094546845E-2</v>
      </c>
    </row>
    <row r="56" spans="1:10" ht="15">
      <c r="A56" s="28">
        <f>Data!A57</f>
        <v>44043</v>
      </c>
      <c r="B56" s="29">
        <f>Data!B57/Data!B56-1</f>
        <v>5.8542459137164604E-2</v>
      </c>
      <c r="C56" s="29">
        <f>Data!C57/Data!C56-1</f>
        <v>4.2186219841215955E-2</v>
      </c>
      <c r="D56" s="29">
        <f>Data!D57/Data!D56-1</f>
        <v>8.5414126102338894E-3</v>
      </c>
      <c r="E56" s="25"/>
      <c r="F56" s="8">
        <v>44043</v>
      </c>
      <c r="G56" s="14">
        <v>1E-4</v>
      </c>
      <c r="H56" s="29">
        <f>Portfolio!B56-$G56</f>
        <v>2.680620729141131E-2</v>
      </c>
      <c r="I56" s="29">
        <f>Portfolio!C56-$G56</f>
        <v>3.5988604632000022E-2</v>
      </c>
      <c r="J56" s="29">
        <f>Portfolio!D56-$G56</f>
        <v>4.5171001972588727E-2</v>
      </c>
    </row>
    <row r="57" spans="1:10" ht="15">
      <c r="A57" s="28">
        <f>Data!A58</f>
        <v>44074</v>
      </c>
      <c r="B57" s="29">
        <f>Data!B58/Data!B57-1</f>
        <v>7.0007785712617565E-2</v>
      </c>
      <c r="C57" s="29">
        <f>Data!C58/Data!C57-1</f>
        <v>4.487860613430783E-2</v>
      </c>
      <c r="D57" s="29">
        <f>Data!D58/Data!D57-1</f>
        <v>-9.6981172024389606E-3</v>
      </c>
      <c r="E57" s="25"/>
      <c r="F57" s="8">
        <v>44074</v>
      </c>
      <c r="G57" s="14">
        <v>1E-4</v>
      </c>
      <c r="H57" s="29">
        <f>Portfolio!B57-$G57</f>
        <v>1.9571326005752676E-2</v>
      </c>
      <c r="I57" s="29">
        <f>Portfolio!C57-$G57</f>
        <v>3.4256047609848489E-2</v>
      </c>
      <c r="J57" s="29">
        <f>Portfolio!D57-$G57</f>
        <v>4.8940769213944309E-2</v>
      </c>
    </row>
    <row r="58" spans="1:10" ht="15">
      <c r="A58" s="28">
        <f>Data!A59</f>
        <v>44104</v>
      </c>
      <c r="B58" s="29">
        <f>Data!B59/Data!B58-1</f>
        <v>-3.7583739623475276E-2</v>
      </c>
      <c r="C58" s="29">
        <f>Data!C59/Data!C58-1</f>
        <v>-1.7348930705543664E-2</v>
      </c>
      <c r="D58" s="29">
        <f>Data!D59/Data!D58-1</f>
        <v>3.2775889967988636E-3</v>
      </c>
      <c r="E58" s="25"/>
      <c r="F58" s="8">
        <v>44104</v>
      </c>
      <c r="G58" s="14">
        <v>1E-4</v>
      </c>
      <c r="H58" s="29">
        <f>Portfolio!B58-$G58</f>
        <v>-1.114346155951763E-2</v>
      </c>
      <c r="I58" s="29">
        <f>Portfolio!C58-$G58</f>
        <v>-1.8303986837675881E-2</v>
      </c>
      <c r="J58" s="29">
        <f>Portfolio!D58-$G58</f>
        <v>-2.5464512115834125E-2</v>
      </c>
    </row>
    <row r="59" spans="1:10" ht="15">
      <c r="A59" s="28">
        <f>Data!A60</f>
        <v>44134</v>
      </c>
      <c r="B59" s="29">
        <f>Data!B60/Data!B59-1</f>
        <v>-2.5114343627675506E-2</v>
      </c>
      <c r="C59" s="29">
        <f>Data!C60/Data!C59-1</f>
        <v>-2.1254647699176732E-2</v>
      </c>
      <c r="D59" s="29">
        <f>Data!D60/Data!D59-1</f>
        <v>-1.380785055403444E-2</v>
      </c>
      <c r="E59" s="25"/>
      <c r="F59" s="8">
        <v>44134</v>
      </c>
      <c r="G59" s="14">
        <v>1E-4</v>
      </c>
      <c r="H59" s="29">
        <f>Portfolio!B59-$G59</f>
        <v>-1.8044478190640988E-2</v>
      </c>
      <c r="I59" s="29">
        <f>Portfolio!C59-$G59</f>
        <v>-2.0112792008944263E-2</v>
      </c>
      <c r="J59" s="29">
        <f>Portfolio!D59-$G59</f>
        <v>-2.2181105827247537E-2</v>
      </c>
    </row>
    <row r="60" spans="1:10" ht="15">
      <c r="A60" s="28">
        <f>Data!A61</f>
        <v>44165</v>
      </c>
      <c r="B60" s="29">
        <f>Data!B61/Data!B60-1</f>
        <v>0.10896773633769841</v>
      </c>
      <c r="C60" s="29">
        <f>Data!C61/Data!C60-1</f>
        <v>0.12451855547930601</v>
      </c>
      <c r="D60" s="29">
        <f>Data!D61/Data!D60-1</f>
        <v>3.3839332695067004E-3</v>
      </c>
      <c r="E60" s="25"/>
      <c r="F60" s="8">
        <v>44165</v>
      </c>
      <c r="G60" s="14">
        <v>1E-4</v>
      </c>
      <c r="H60" s="29">
        <f>Portfolio!B60-$G60</f>
        <v>4.7072536410944138E-2</v>
      </c>
      <c r="I60" s="29">
        <f>Portfolio!C60-$G60</f>
        <v>6.8966837981662865E-2</v>
      </c>
      <c r="J60" s="29">
        <f>Portfolio!D60-$G60</f>
        <v>9.0861139552381578E-2</v>
      </c>
    </row>
    <row r="61" spans="1:10" ht="15">
      <c r="A61" s="28">
        <f>Data!A62</f>
        <v>44196</v>
      </c>
      <c r="B61" s="29">
        <f>Data!B62/Data!B61-1</f>
        <v>3.7766564486841903E-2</v>
      </c>
      <c r="C61" s="29">
        <f>Data!C62/Data!C61-1</f>
        <v>5.7690759868351815E-2</v>
      </c>
      <c r="D61" s="29">
        <f>Data!D62/Data!D61-1</f>
        <v>-2.3845879655450819E-3</v>
      </c>
      <c r="E61" s="25"/>
      <c r="F61" s="8">
        <v>44196</v>
      </c>
      <c r="G61" s="14">
        <v>1E-4</v>
      </c>
      <c r="H61" s="29">
        <f>Portfolio!B61-$G61</f>
        <v>1.5568292553560705E-2</v>
      </c>
      <c r="I61" s="29">
        <f>Portfolio!C61-$G61</f>
        <v>2.4594732813113595E-2</v>
      </c>
      <c r="J61" s="29">
        <f>Portfolio!D61-$G61</f>
        <v>3.3621173072666488E-2</v>
      </c>
    </row>
    <row r="62" spans="1:10" ht="15">
      <c r="A62" s="28">
        <f>Data!A63</f>
        <v>44225</v>
      </c>
      <c r="B62" s="29">
        <f>Data!B63/Data!B62-1</f>
        <v>-1.0309290691505213E-2</v>
      </c>
      <c r="C62" s="29">
        <f>Data!C63/Data!C62-1</f>
        <v>1.7858091740587945E-3</v>
      </c>
      <c r="D62" s="29">
        <f>Data!D63/Data!D62-1</f>
        <v>-1.092168157106288E-2</v>
      </c>
      <c r="E62" s="25"/>
      <c r="F62" s="8">
        <v>44225</v>
      </c>
      <c r="G62" s="14">
        <v>0</v>
      </c>
      <c r="H62" s="29">
        <f>Portfolio!B62-$G62</f>
        <v>-9.4672152326834118E-3</v>
      </c>
      <c r="I62" s="29">
        <f>Portfolio!C62-$G62</f>
        <v>-8.7399820634936794E-3</v>
      </c>
      <c r="J62" s="29">
        <f>Portfolio!D62-$G62</f>
        <v>-8.0127488943039452E-3</v>
      </c>
    </row>
    <row r="63" spans="1:10" ht="15">
      <c r="A63" s="28">
        <f>Data!A64</f>
        <v>44253</v>
      </c>
      <c r="B63" s="29">
        <f>Data!B64/Data!B63-1</f>
        <v>2.758912809733105E-2</v>
      </c>
      <c r="C63" s="29">
        <f>Data!C64/Data!C63-1</f>
        <v>2.3919183067227845E-2</v>
      </c>
      <c r="D63" s="29">
        <f>Data!D64/Data!D63-1</f>
        <v>-2.363328815937793E-2</v>
      </c>
      <c r="E63" s="25"/>
      <c r="F63" s="8">
        <v>44253</v>
      </c>
      <c r="G63" s="14">
        <v>0</v>
      </c>
      <c r="H63" s="29">
        <f>Portfolio!B63-$G63</f>
        <v>-3.5113161597046579E-3</v>
      </c>
      <c r="I63" s="29">
        <f>Portfolio!C63-$G63</f>
        <v>6.5496698401319772E-3</v>
      </c>
      <c r="J63" s="29">
        <f>Portfolio!D63-$G63</f>
        <v>1.6610655839968614E-2</v>
      </c>
    </row>
    <row r="64" spans="1:10" ht="15">
      <c r="A64" s="28">
        <f>Data!A65</f>
        <v>44286</v>
      </c>
      <c r="B64" s="29">
        <f>Data!B65/Data!B64-1</f>
        <v>4.5553999719550875E-2</v>
      </c>
      <c r="C64" s="29">
        <f>Data!C65/Data!C64-1</f>
        <v>1.9733123243424577E-2</v>
      </c>
      <c r="D64" s="29">
        <f>Data!D65/Data!D64-1</f>
        <v>-2.3856489602827158E-2</v>
      </c>
      <c r="E64" s="25"/>
      <c r="F64" s="8">
        <v>44286</v>
      </c>
      <c r="G64" s="14">
        <v>0</v>
      </c>
      <c r="H64" s="29">
        <f>Portfolio!B64-$G64</f>
        <v>1.3256184785114256E-3</v>
      </c>
      <c r="I64" s="29">
        <f>Portfolio!C64-$G64</f>
        <v>1.3916672519180717E-2</v>
      </c>
      <c r="J64" s="29">
        <f>Portfolio!D64-$G64</f>
        <v>2.6507726559850009E-2</v>
      </c>
    </row>
    <row r="65" spans="1:10" ht="15">
      <c r="A65" s="28">
        <f>Data!A66</f>
        <v>44316</v>
      </c>
      <c r="B65" s="29">
        <f>Data!B66/Data!B65-1</f>
        <v>5.2938580873103547E-2</v>
      </c>
      <c r="C65" s="29">
        <f>Data!C66/Data!C65-1</f>
        <v>2.8315285990310857E-2</v>
      </c>
      <c r="D65" s="29">
        <f>Data!D66/Data!D65-1</f>
        <v>1.001219123077246E-2</v>
      </c>
      <c r="E65" s="25"/>
      <c r="F65" s="8">
        <v>44316</v>
      </c>
      <c r="G65" s="14">
        <v>0</v>
      </c>
      <c r="H65" s="29">
        <f>Portfolio!B65-$G65</f>
        <v>2.4720417599425622E-2</v>
      </c>
      <c r="I65" s="29">
        <f>Portfolio!C65-$G65</f>
        <v>3.2074530783752213E-2</v>
      </c>
      <c r="J65" s="29">
        <f>Portfolio!D65-$G65</f>
        <v>3.942864396807879E-2</v>
      </c>
    </row>
    <row r="66" spans="1:10" ht="15">
      <c r="A66" s="28">
        <f>Data!A67</f>
        <v>44344</v>
      </c>
      <c r="B66" s="29">
        <f>Data!B67/Data!B66-1</f>
        <v>6.6127525250294639E-3</v>
      </c>
      <c r="C66" s="29">
        <f>Data!C67/Data!C66-1</f>
        <v>2.9611426225309323E-2</v>
      </c>
      <c r="D66" s="29">
        <f>Data!D67/Data!D66-1</f>
        <v>4.2483692362731418E-3</v>
      </c>
      <c r="E66" s="25"/>
      <c r="F66" s="8">
        <v>44344</v>
      </c>
      <c r="G66" s="14">
        <v>0</v>
      </c>
      <c r="H66" s="29">
        <f>Portfolio!B66-$G66</f>
        <v>7.4939899218036564E-3</v>
      </c>
      <c r="I66" s="29">
        <f>Portfolio!C66-$G66</f>
        <v>9.1168002645689132E-3</v>
      </c>
      <c r="J66" s="29">
        <f>Portfolio!D66-$G66</f>
        <v>1.0739610607334171E-2</v>
      </c>
    </row>
    <row r="67" spans="1:10" ht="15">
      <c r="A67" s="28">
        <f>Data!A68</f>
        <v>44377</v>
      </c>
      <c r="B67" s="29">
        <f>Data!B68/Data!B67-1</f>
        <v>2.2573381029376671E-2</v>
      </c>
      <c r="C67" s="29">
        <f>Data!C68/Data!C67-1</f>
        <v>-3.6169183767165158E-3</v>
      </c>
      <c r="D67" s="29">
        <f>Data!D68/Data!D67-1</f>
        <v>1.0226074308436139E-2</v>
      </c>
      <c r="E67" s="25"/>
      <c r="F67" s="8">
        <v>44377</v>
      </c>
      <c r="G67" s="14">
        <v>0</v>
      </c>
      <c r="H67" s="29">
        <f>Portfolio!B67-$G67</f>
        <v>1.2545967056203033E-2</v>
      </c>
      <c r="I67" s="29">
        <f>Portfolio!C67-$G67</f>
        <v>1.370591343008648E-2</v>
      </c>
      <c r="J67" s="29">
        <f>Portfolio!D67-$G67</f>
        <v>1.4865859803969927E-2</v>
      </c>
    </row>
    <row r="68" spans="1:10" ht="15">
      <c r="A68" s="28">
        <f>Data!A69</f>
        <v>44407</v>
      </c>
      <c r="B68" s="29">
        <f>Data!B69/Data!B68-1</f>
        <v>2.4376423471013542E-2</v>
      </c>
      <c r="C68" s="29">
        <f>Data!C69/Data!C68-1</f>
        <v>-1.1732356588408765E-2</v>
      </c>
      <c r="D68" s="29">
        <f>Data!D69/Data!D68-1</f>
        <v>1.9901903814274036E-2</v>
      </c>
      <c r="E68" s="25"/>
      <c r="F68" s="8">
        <v>44407</v>
      </c>
      <c r="G68" s="14">
        <v>0</v>
      </c>
      <c r="H68" s="29">
        <f>Portfolio!B68-$G68</f>
        <v>1.8080833671027606E-2</v>
      </c>
      <c r="I68" s="29">
        <f>Portfolio!C68-$G68</f>
        <v>1.7170298599404395E-2</v>
      </c>
      <c r="J68" s="29">
        <f>Portfolio!D68-$G68</f>
        <v>1.6259763527781176E-2</v>
      </c>
    </row>
    <row r="69" spans="1:10" ht="15">
      <c r="A69" s="28">
        <f>Data!A70</f>
        <v>44439</v>
      </c>
      <c r="B69" s="29">
        <f>Data!B70/Data!B69-1</f>
        <v>3.0222495753318812E-2</v>
      </c>
      <c r="C69" s="29">
        <f>Data!C70/Data!C69-1</f>
        <v>1.5322962969979592E-2</v>
      </c>
      <c r="D69" s="29">
        <f>Data!D70/Data!D69-1</f>
        <v>-3.9438810639785826E-3</v>
      </c>
      <c r="E69" s="25"/>
      <c r="F69" s="8">
        <v>44439</v>
      </c>
      <c r="G69" s="14">
        <v>0</v>
      </c>
      <c r="H69" s="29">
        <f>Portfolio!B69-$G69</f>
        <v>8.2327163846064536E-3</v>
      </c>
      <c r="I69" s="29">
        <f>Portfolio!C69-$G69</f>
        <v>1.4321015108898973E-2</v>
      </c>
      <c r="J69" s="29">
        <f>Portfolio!D69-$G69</f>
        <v>2.040931383319149E-2</v>
      </c>
    </row>
    <row r="70" spans="1:10" ht="15">
      <c r="A70" s="28">
        <f>Data!A71</f>
        <v>44469</v>
      </c>
      <c r="B70" s="29">
        <f>Data!B71/Data!B70-1</f>
        <v>-4.6837298604884614E-2</v>
      </c>
      <c r="C70" s="29">
        <f>Data!C71/Data!C70-1</f>
        <v>-3.4670241183261341E-2</v>
      </c>
      <c r="D70" s="29">
        <f>Data!D71/Data!D70-1</f>
        <v>-1.5970832882689523E-2</v>
      </c>
      <c r="E70" s="25"/>
      <c r="F70" s="8">
        <v>44469</v>
      </c>
      <c r="G70" s="14">
        <v>0</v>
      </c>
      <c r="H70" s="29">
        <f>Portfolio!B70-$G70</f>
        <v>-2.7100713429405232E-2</v>
      </c>
      <c r="I70" s="29">
        <f>Portfolio!C70-$G70</f>
        <v>-3.2665653702763087E-2</v>
      </c>
      <c r="J70" s="29">
        <f>Portfolio!D70-$G70</f>
        <v>-3.8230593976120941E-2</v>
      </c>
    </row>
    <row r="71" spans="1:10" ht="15">
      <c r="A71" s="28">
        <f>Data!A72</f>
        <v>44498</v>
      </c>
      <c r="B71" s="29">
        <f>Data!B72/Data!B71-1</f>
        <v>7.0029241359058414E-2</v>
      </c>
      <c r="C71" s="29">
        <f>Data!C72/Data!C71-1</f>
        <v>2.9154809206486387E-2</v>
      </c>
      <c r="D71" s="29">
        <f>Data!D72/Data!D71-1</f>
        <v>-4.4294428246828277E-3</v>
      </c>
      <c r="E71" s="25"/>
      <c r="F71" s="8">
        <v>44498</v>
      </c>
      <c r="G71" s="14">
        <v>0</v>
      </c>
      <c r="H71" s="29">
        <f>Portfolio!B71-$G71</f>
        <v>2.1266587633556468E-2</v>
      </c>
      <c r="I71" s="29">
        <f>Portfolio!C71-$G71</f>
        <v>3.4114602862676119E-2</v>
      </c>
      <c r="J71" s="29">
        <f>Portfolio!D71-$G71</f>
        <v>4.6962618091795763E-2</v>
      </c>
    </row>
    <row r="72" spans="1:10" ht="15">
      <c r="A72" s="28">
        <f>Data!A73</f>
        <v>44530</v>
      </c>
      <c r="B72" s="29">
        <f>Data!B73/Data!B72-1</f>
        <v>-7.2886157005529473E-3</v>
      </c>
      <c r="C72" s="29">
        <f>Data!C73/Data!C72-1</f>
        <v>-4.4067312848061868E-2</v>
      </c>
      <c r="D72" s="29">
        <f>Data!D73/Data!D72-1</f>
        <v>1.0921346437517965E-2</v>
      </c>
      <c r="E72" s="25"/>
      <c r="F72" s="8">
        <v>44530</v>
      </c>
      <c r="G72" s="14">
        <v>0</v>
      </c>
      <c r="H72" s="29">
        <f>Portfolio!B72-$G72</f>
        <v>-4.0508132461291799E-5</v>
      </c>
      <c r="I72" s="29">
        <f>Portfolio!C72-$G72</f>
        <v>-5.5214354174509209E-3</v>
      </c>
      <c r="J72" s="29">
        <f>Portfolio!D72-$G72</f>
        <v>-1.1002362702440548E-2</v>
      </c>
    </row>
    <row r="73" spans="1:10" ht="15">
      <c r="A73" s="28">
        <f>Data!A74</f>
        <v>44561</v>
      </c>
      <c r="B73" s="29">
        <f>Data!B74/Data!B73-1</f>
        <v>4.5618322707527303E-2</v>
      </c>
      <c r="C73" s="29">
        <f>Data!C74/Data!C73-1</f>
        <v>3.5237945454861253E-2</v>
      </c>
      <c r="D73" s="29">
        <f>Data!D74/Data!D73-1</f>
        <v>-5.2406326926860425E-3</v>
      </c>
      <c r="E73" s="25"/>
      <c r="F73" s="8">
        <v>44561</v>
      </c>
      <c r="G73" s="14">
        <v>1E-4</v>
      </c>
      <c r="H73" s="29">
        <f>Portfolio!B73-$G73</f>
        <v>1.396491174213269E-2</v>
      </c>
      <c r="I73" s="29">
        <f>Portfolio!C73-$G73</f>
        <v>2.3617683959542061E-2</v>
      </c>
      <c r="J73" s="29">
        <f>Portfolio!D73-$G73</f>
        <v>3.3270456176951416E-2</v>
      </c>
    </row>
    <row r="74" spans="1:10" ht="15">
      <c r="A74" s="28">
        <f>Data!A75</f>
        <v>44592</v>
      </c>
      <c r="B74" s="29">
        <f>Data!B75/Data!B74-1</f>
        <v>-5.2873333362397079E-2</v>
      </c>
      <c r="C74" s="29">
        <f>Data!C75/Data!C74-1</f>
        <v>-2.8756698058997276E-2</v>
      </c>
      <c r="D74" s="29">
        <f>Data!D75/Data!D74-1</f>
        <v>-2.1130300832046367E-2</v>
      </c>
      <c r="E74" s="25"/>
      <c r="F74" s="8">
        <v>44592</v>
      </c>
      <c r="G74" s="14">
        <v>0</v>
      </c>
      <c r="H74" s="29">
        <f>Portfolio!B74-$G74</f>
        <v>-3.1415850313846666E-2</v>
      </c>
      <c r="I74" s="29">
        <f>Portfolio!C74-$G74</f>
        <v>-3.6558625054746829E-2</v>
      </c>
      <c r="J74" s="29">
        <f>Portfolio!D74-$G74</f>
        <v>-4.1701399795646972E-2</v>
      </c>
    </row>
    <row r="75" spans="1:10" ht="15">
      <c r="A75" s="28">
        <f>Data!A76</f>
        <v>44620</v>
      </c>
      <c r="B75" s="29">
        <f>Data!B76/Data!B75-1</f>
        <v>-2.8886361082673506E-2</v>
      </c>
      <c r="C75" s="29">
        <f>Data!C76/Data!C75-1</f>
        <v>-3.1204670688247171E-2</v>
      </c>
      <c r="D75" s="29">
        <f>Data!D76/Data!D75-1</f>
        <v>-3.0410368896167661E-3</v>
      </c>
      <c r="E75" s="25"/>
      <c r="F75" s="8">
        <v>44620</v>
      </c>
      <c r="G75" s="14">
        <v>0</v>
      </c>
      <c r="H75" s="29">
        <f>Portfolio!B75-$G75</f>
        <v>-1.3610997527396827E-2</v>
      </c>
      <c r="I75" s="29">
        <f>Portfolio!C75-$G75</f>
        <v>-1.8895977846286861E-2</v>
      </c>
      <c r="J75" s="29">
        <f>Portfolio!D75-$G75</f>
        <v>-2.4180958165176888E-2</v>
      </c>
    </row>
    <row r="76" spans="1:10" ht="15">
      <c r="A76" s="28">
        <f>Data!A77</f>
        <v>44651</v>
      </c>
      <c r="B76" s="29">
        <f>Data!B77/Data!B76-1</f>
        <v>3.7556616945754406E-2</v>
      </c>
      <c r="C76" s="29">
        <f>Data!C77/Data!C76-1</f>
        <v>-2.5467787616955118E-3</v>
      </c>
      <c r="D76" s="29">
        <f>Data!D77/Data!D76-1</f>
        <v>-4.060950935803187E-2</v>
      </c>
      <c r="E76" s="25"/>
      <c r="F76" s="8">
        <v>44651</v>
      </c>
      <c r="G76" s="14">
        <v>0</v>
      </c>
      <c r="H76" s="29">
        <f>Portfolio!B76-$G76</f>
        <v>-1.3353398407262351E-2</v>
      </c>
      <c r="I76" s="29">
        <f>Portfolio!C76-$G76</f>
        <v>2.7465706812240809E-4</v>
      </c>
      <c r="J76" s="29">
        <f>Portfolio!D76-$G76</f>
        <v>1.3902712543507164E-2</v>
      </c>
    </row>
    <row r="77" spans="1:10" ht="15">
      <c r="A77" s="28">
        <f>Data!A78</f>
        <v>44680</v>
      </c>
      <c r="B77" s="29">
        <f>Data!B78/Data!B77-1</f>
        <v>-8.8452434229288279E-2</v>
      </c>
      <c r="C77" s="29">
        <f>Data!C78/Data!C77-1</f>
        <v>-6.563542485567897E-2</v>
      </c>
      <c r="D77" s="29">
        <f>Data!D78/Data!D77-1</f>
        <v>-4.2282373377431903E-2</v>
      </c>
      <c r="E77" s="25"/>
      <c r="F77" s="8">
        <v>44680</v>
      </c>
      <c r="G77" s="14">
        <v>0</v>
      </c>
      <c r="H77" s="29">
        <f>Portfolio!B77-$G77</f>
        <v>-5.8468696780813526E-2</v>
      </c>
      <c r="I77" s="29">
        <f>Portfolio!C77-$G77</f>
        <v>-6.6561858482504344E-2</v>
      </c>
      <c r="J77" s="29">
        <f>Portfolio!D77-$G77</f>
        <v>-7.4655020184195148E-2</v>
      </c>
    </row>
    <row r="78" spans="1:10" ht="15">
      <c r="A78" s="28">
        <f>Data!A79</f>
        <v>44712</v>
      </c>
      <c r="B78" s="29">
        <f>Data!B79/Data!B78-1</f>
        <v>3.1676594035332517E-3</v>
      </c>
      <c r="C78" s="29">
        <f>Data!C79/Data!C78-1</f>
        <v>1.3181096520354041E-2</v>
      </c>
      <c r="D78" s="29">
        <f>Data!D79/Data!D78-1</f>
        <v>6.1840853952497277E-3</v>
      </c>
      <c r="E78" s="25"/>
      <c r="F78" s="8">
        <v>44712</v>
      </c>
      <c r="G78" s="14">
        <v>2.9999999999999997E-4</v>
      </c>
      <c r="H78" s="29">
        <f>Portfolio!B78-$G78</f>
        <v>5.6788587102452161E-3</v>
      </c>
      <c r="I78" s="29">
        <f>Portfolio!C78-$G78</f>
        <v>5.5762453677429607E-3</v>
      </c>
      <c r="J78" s="29">
        <f>Portfolio!D78-$G78</f>
        <v>5.4736320252407053E-3</v>
      </c>
    </row>
    <row r="79" spans="1:10" ht="15">
      <c r="A79" s="28">
        <f>Data!A80</f>
        <v>44742</v>
      </c>
      <c r="B79" s="29">
        <f>Data!B80/Data!B79-1</f>
        <v>-8.3250816107129144E-2</v>
      </c>
      <c r="C79" s="29">
        <f>Data!C80/Data!C79-1</f>
        <v>-8.1295560626105545E-2</v>
      </c>
      <c r="D79" s="29">
        <f>Data!D80/Data!D79-1</f>
        <v>-8.6345646894180339E-3</v>
      </c>
      <c r="E79" s="25"/>
      <c r="F79" s="8">
        <v>44742</v>
      </c>
      <c r="G79" s="14">
        <v>5.9999999999999995E-4</v>
      </c>
      <c r="H79" s="29">
        <f>Portfolio!B79-$G79</f>
        <v>-3.888553970840012E-2</v>
      </c>
      <c r="I79" s="29">
        <f>Portfolio!C79-$G79</f>
        <v>-5.3711027217891172E-2</v>
      </c>
      <c r="J79" s="29">
        <f>Portfolio!D79-$G79</f>
        <v>-6.8536514727382203E-2</v>
      </c>
    </row>
    <row r="80" spans="1:10" ht="15">
      <c r="A80" s="28">
        <f>Data!A81</f>
        <v>44771</v>
      </c>
      <c r="B80" s="29">
        <f>Data!B81/Data!B80-1</f>
        <v>9.2654666240788774E-2</v>
      </c>
      <c r="C80" s="29">
        <f>Data!C81/Data!C80-1</f>
        <v>3.8576290060439833E-2</v>
      </c>
      <c r="D80" s="29">
        <f>Data!D81/Data!D80-1</f>
        <v>2.9614805305549163E-2</v>
      </c>
      <c r="E80" s="25"/>
      <c r="F80" s="8">
        <v>44771</v>
      </c>
      <c r="G80" s="14">
        <v>8.0000000000000004E-4</v>
      </c>
      <c r="H80" s="29">
        <f>Portfolio!B80-$G80</f>
        <v>4.862291206161011E-2</v>
      </c>
      <c r="I80" s="29">
        <f>Portfolio!C80-$G80</f>
        <v>5.8526965439640588E-2</v>
      </c>
      <c r="J80" s="29">
        <f>Portfolio!D80-$G80</f>
        <v>6.8431018817671066E-2</v>
      </c>
    </row>
    <row r="81" spans="1:10" ht="15">
      <c r="A81" s="28">
        <f>Data!A82</f>
        <v>44804</v>
      </c>
      <c r="B81" s="29">
        <f>Data!B82/Data!B81-1</f>
        <v>-4.1276694734878716E-2</v>
      </c>
      <c r="C81" s="29">
        <f>Data!C82/Data!C81-1</f>
        <v>-4.609155558954936E-2</v>
      </c>
      <c r="D81" s="29">
        <f>Data!D82/Data!D81-1</f>
        <v>-3.8538550990808496E-2</v>
      </c>
      <c r="E81" s="25"/>
      <c r="F81" s="8">
        <v>44804</v>
      </c>
      <c r="G81" s="14">
        <v>1.9E-3</v>
      </c>
      <c r="H81" s="29">
        <f>Portfolio!B81-$G81</f>
        <v>-4.2015294573903642E-2</v>
      </c>
      <c r="I81" s="29">
        <f>Portfolio!C81-$G81</f>
        <v>-4.2803666365451222E-2</v>
      </c>
      <c r="J81" s="29">
        <f>Portfolio!D81-$G81</f>
        <v>-4.3592038156998802E-2</v>
      </c>
    </row>
    <row r="82" spans="1:10" ht="15">
      <c r="A82" s="28">
        <f>Data!A83</f>
        <v>44834</v>
      </c>
      <c r="B82" s="29">
        <f>Data!B83/Data!B82-1</f>
        <v>-9.2351046700379524E-2</v>
      </c>
      <c r="C82" s="29">
        <f>Data!C83/Data!C82-1</f>
        <v>-9.8761149485219635E-2</v>
      </c>
      <c r="D82" s="29">
        <f>Data!D83/Data!D82-1</f>
        <v>-4.7349935607624349E-2</v>
      </c>
      <c r="E82" s="25"/>
      <c r="F82" s="8">
        <v>44834</v>
      </c>
      <c r="G82" s="14">
        <v>1.9E-3</v>
      </c>
      <c r="H82" s="29">
        <f>Portfolio!B82-$G82</f>
        <v>-6.7891390323210427E-2</v>
      </c>
      <c r="I82" s="29">
        <f>Portfolio!C82-$G82</f>
        <v>-7.7212117681003473E-2</v>
      </c>
      <c r="J82" s="29">
        <f>Portfolio!D82-$G82</f>
        <v>-8.6532845038796519E-2</v>
      </c>
    </row>
    <row r="83" spans="1:10" ht="15">
      <c r="A83" s="28">
        <f>Data!A84</f>
        <v>44865</v>
      </c>
      <c r="B83" s="29">
        <f>Data!B84/Data!B83-1</f>
        <v>8.124922565790893E-2</v>
      </c>
      <c r="C83" s="29">
        <f>Data!C84/Data!C83-1</f>
        <v>3.7902460492877932E-2</v>
      </c>
      <c r="D83" s="29">
        <f>Data!D84/Data!D83-1</f>
        <v>-1.4539849215492118E-2</v>
      </c>
      <c r="E83" s="25"/>
      <c r="F83" s="8">
        <v>44865</v>
      </c>
      <c r="G83" s="14">
        <v>2.3E-3</v>
      </c>
      <c r="H83" s="29">
        <f>Portfolio!B83-$G83</f>
        <v>1.7141104217365203E-2</v>
      </c>
      <c r="I83" s="29">
        <f>Portfolio!C83-$G83</f>
        <v>3.4131580933793856E-2</v>
      </c>
      <c r="J83" s="29">
        <f>Portfolio!D83-$G83</f>
        <v>5.1122057650222527E-2</v>
      </c>
    </row>
    <row r="84" spans="1:10" ht="15">
      <c r="A84" s="28">
        <f>Data!A85</f>
        <v>44895</v>
      </c>
      <c r="B84" s="29">
        <f>Data!B85/Data!B84-1</f>
        <v>5.5519851745067683E-2</v>
      </c>
      <c r="C84" s="29">
        <f>Data!C85/Data!C84-1</f>
        <v>0.1290447798051606</v>
      </c>
      <c r="D84" s="29">
        <f>Data!D85/Data!D84-1</f>
        <v>3.6122384369783767E-2</v>
      </c>
      <c r="E84" s="25"/>
      <c r="F84" s="8">
        <v>44895</v>
      </c>
      <c r="G84" s="14">
        <v>2.8999999999999998E-3</v>
      </c>
      <c r="H84" s="29">
        <f>Portfolio!B84-$G84</f>
        <v>4.8333864125906623E-2</v>
      </c>
      <c r="I84" s="29">
        <f>Portfolio!C84-$G84</f>
        <v>5.5889604003968057E-2</v>
      </c>
      <c r="J84" s="29">
        <f>Portfolio!D84-$G84</f>
        <v>6.3445343882029478E-2</v>
      </c>
    </row>
    <row r="85" spans="1:10" ht="15">
      <c r="A85" s="28">
        <f>Data!A86</f>
        <v>44925</v>
      </c>
      <c r="B85" s="29">
        <f>Data!B86/Data!B85-1</f>
        <v>-5.7288272827273223E-2</v>
      </c>
      <c r="C85" s="29">
        <f>Data!C86/Data!C85-1</f>
        <v>-2.1906733190608763E-2</v>
      </c>
      <c r="D85" s="29">
        <f>Data!D86/Data!D85-1</f>
        <v>-1.4880789755944868E-2</v>
      </c>
      <c r="E85" s="25"/>
      <c r="F85" s="8">
        <v>44925</v>
      </c>
      <c r="G85" s="14">
        <v>3.3E-3</v>
      </c>
      <c r="H85" s="29">
        <f>Portfolio!B85-$G85</f>
        <v>-3.160562902080976E-2</v>
      </c>
      <c r="I85" s="29">
        <f>Portfolio!C85-$G85</f>
        <v>-3.8318048653242211E-2</v>
      </c>
      <c r="J85" s="29">
        <f>Portfolio!D85-$G85</f>
        <v>-4.5030468285674655E-2</v>
      </c>
    </row>
    <row r="86" spans="1:10" ht="15">
      <c r="A86" s="28">
        <f>Data!A87</f>
        <v>44957</v>
      </c>
      <c r="B86" s="29">
        <f>Data!B87/Data!B86-1</f>
        <v>6.2725898603633201E-2</v>
      </c>
      <c r="C86" s="29">
        <f>Data!C87/Data!C86-1</f>
        <v>8.7767733919205115E-2</v>
      </c>
      <c r="D86" s="29">
        <f>Data!D87/Data!D86-1</f>
        <v>3.5811320202435493E-2</v>
      </c>
      <c r="E86" s="25"/>
      <c r="F86" s="8">
        <v>44957</v>
      </c>
      <c r="G86" s="14">
        <v>3.5000000000000001E-3</v>
      </c>
      <c r="H86" s="29">
        <f>Portfolio!B86-$G86</f>
        <v>4.5581335094471764E-2</v>
      </c>
      <c r="I86" s="29">
        <f>Portfolio!C86-$G86</f>
        <v>5.2216342540489902E-2</v>
      </c>
      <c r="J86" s="29">
        <f>Portfolio!D86-$G86</f>
        <v>5.8851349986508039E-2</v>
      </c>
    </row>
    <row r="87" spans="1:10" ht="15">
      <c r="A87" s="28">
        <f>Data!A88</f>
        <v>44985</v>
      </c>
      <c r="B87" s="29">
        <f>Data!B88/Data!B87-1</f>
        <v>-2.5323775451551955E-2</v>
      </c>
      <c r="C87" s="29">
        <f>Data!C88/Data!C87-1</f>
        <v>-4.2566784044315797E-2</v>
      </c>
      <c r="D87" s="29">
        <f>Data!D88/Data!D87-1</f>
        <v>-3.2707684780276081E-2</v>
      </c>
      <c r="E87" s="25"/>
      <c r="F87" s="8">
        <v>44985</v>
      </c>
      <c r="G87" s="14">
        <v>3.3999999999999998E-3</v>
      </c>
      <c r="H87" s="29">
        <f>Portfolio!B87-$G87</f>
        <v>-3.4878421908062812E-2</v>
      </c>
      <c r="I87" s="29">
        <f>Portfolio!C87-$G87</f>
        <v>-3.4263790471956178E-2</v>
      </c>
      <c r="J87" s="29">
        <f>Portfolio!D87-$G87</f>
        <v>-3.364915903584955E-2</v>
      </c>
    </row>
    <row r="88" spans="1:10" ht="15">
      <c r="A88" s="28">
        <f>Data!A89</f>
        <v>45016</v>
      </c>
      <c r="B88" s="29">
        <f>Data!B89/Data!B88-1</f>
        <v>3.7264292020923628E-2</v>
      </c>
      <c r="C88" s="29">
        <f>Data!C89/Data!C88-1</f>
        <v>2.7704114982050942E-2</v>
      </c>
      <c r="D88" s="29">
        <f>Data!D89/Data!D88-1</f>
        <v>3.7210811374353669E-2</v>
      </c>
      <c r="E88" s="25"/>
      <c r="F88" s="8">
        <v>45016</v>
      </c>
      <c r="G88" s="14">
        <v>3.5999999999999999E-3</v>
      </c>
      <c r="H88" s="29">
        <f>Portfolio!B88-$G88</f>
        <v>3.2676185929094388E-2</v>
      </c>
      <c r="I88" s="29">
        <f>Portfolio!C88-$G88</f>
        <v>3.220887320646474E-2</v>
      </c>
      <c r="J88" s="29">
        <f>Portfolio!D88-$G88</f>
        <v>3.1741560483835099E-2</v>
      </c>
    </row>
    <row r="89" spans="1:10" ht="15">
      <c r="A89" s="28">
        <f>Data!A90</f>
        <v>45044</v>
      </c>
      <c r="B89" s="29">
        <f>Data!B90/Data!B89-1</f>
        <v>1.6006929974495154E-2</v>
      </c>
      <c r="C89" s="29">
        <f>Data!C90/Data!C89-1</f>
        <v>1.9209071895828655E-2</v>
      </c>
      <c r="D89" s="29">
        <f>Data!D90/Data!D89-1</f>
        <v>8.1476883452520354E-3</v>
      </c>
      <c r="E89" s="25"/>
      <c r="F89" s="8">
        <v>45044</v>
      </c>
      <c r="G89" s="14">
        <v>3.5000000000000001E-3</v>
      </c>
      <c r="H89" s="29">
        <f>Portfolio!B89-$G89</f>
        <v>8.1115991890826321E-3</v>
      </c>
      <c r="I89" s="29">
        <f>Portfolio!C89-$G89</f>
        <v>9.8435546109979337E-3</v>
      </c>
      <c r="J89" s="29">
        <f>Portfolio!D89-$G89</f>
        <v>1.157551003291323E-2</v>
      </c>
    </row>
    <row r="90" spans="1:10" ht="15">
      <c r="A90" s="28">
        <f>Data!A91</f>
        <v>45077</v>
      </c>
      <c r="B90" s="29">
        <f>Data!B91/Data!B90-1</f>
        <v>4.2377592610209902E-3</v>
      </c>
      <c r="C90" s="29">
        <f>Data!C91/Data!C90-1</f>
        <v>-3.5793480373319642E-2</v>
      </c>
      <c r="D90" s="29">
        <f>Data!D91/Data!D90-1</f>
        <v>-1.4383448645328478E-2</v>
      </c>
      <c r="E90" s="25"/>
      <c r="F90" s="8">
        <v>45077</v>
      </c>
      <c r="G90" s="14">
        <v>3.5999999999999999E-3</v>
      </c>
      <c r="H90" s="29">
        <f>Portfolio!B90-$G90</f>
        <v>-1.4538089446222754E-2</v>
      </c>
      <c r="I90" s="29">
        <f>Portfolio!C90-$G90</f>
        <v>-1.281540984666989E-2</v>
      </c>
      <c r="J90" s="29">
        <f>Portfolio!D90-$G90</f>
        <v>-1.109273024711703E-2</v>
      </c>
    </row>
    <row r="91" spans="1:10" ht="15">
      <c r="A91" s="28">
        <f>Data!A92</f>
        <v>45107</v>
      </c>
      <c r="B91" s="29">
        <f>Data!B92/Data!B91-1</f>
        <v>6.5976231220595372E-2</v>
      </c>
      <c r="C91" s="29">
        <f>Data!C92/Data!C91-1</f>
        <v>4.4872731415446898E-2</v>
      </c>
      <c r="D91" s="29">
        <f>Data!D92/Data!D91-1</f>
        <v>-1.2552499995162947E-2</v>
      </c>
      <c r="E91" s="25"/>
      <c r="F91" s="8">
        <v>45107</v>
      </c>
      <c r="G91" s="14">
        <v>4.0000000000000001E-3</v>
      </c>
      <c r="H91" s="29">
        <f>Portfolio!B91-$G91</f>
        <v>1.2748642510625529E-2</v>
      </c>
      <c r="I91" s="29">
        <f>Portfolio!C91-$G91</f>
        <v>2.7399213763519777E-2</v>
      </c>
      <c r="J91" s="29">
        <f>Portfolio!D91-$G91</f>
        <v>4.2049785016414001E-2</v>
      </c>
    </row>
    <row r="92" spans="1:10" ht="15">
      <c r="A92" s="28">
        <f>Data!A93</f>
        <v>45138</v>
      </c>
      <c r="B92" s="29">
        <f>Data!B93/Data!B92-1</f>
        <v>3.2464953992182188E-2</v>
      </c>
      <c r="C92" s="29">
        <f>Data!C93/Data!C92-1</f>
        <v>3.9603865884392464E-2</v>
      </c>
      <c r="D92" s="29">
        <f>Data!D93/Data!D92-1</f>
        <v>-6.5169460463047058E-3</v>
      </c>
      <c r="E92" s="25"/>
      <c r="F92" s="8">
        <v>45138</v>
      </c>
      <c r="G92" s="14">
        <v>4.4999999999999997E-3</v>
      </c>
      <c r="H92" s="29">
        <f>Portfolio!B92-$G92</f>
        <v>5.2897051583110808E-3</v>
      </c>
      <c r="I92" s="29">
        <f>Portfolio!C92-$G92</f>
        <v>1.3443030760618969E-2</v>
      </c>
      <c r="J92" s="29">
        <f>Portfolio!D92-$G92</f>
        <v>2.1596356362926866E-2</v>
      </c>
    </row>
    <row r="93" spans="1:10" ht="15">
      <c r="A93" s="28">
        <f>Data!A94</f>
        <v>45169</v>
      </c>
      <c r="B93" s="29">
        <f>Data!B94/Data!B93-1</f>
        <v>-1.627619720219009E-2</v>
      </c>
      <c r="C93" s="29">
        <f>Data!C94/Data!C93-1</f>
        <v>-4.4853996695711995E-2</v>
      </c>
      <c r="D93" s="29">
        <f>Data!D94/Data!D93-1</f>
        <v>-7.3089309603712183E-3</v>
      </c>
      <c r="E93" s="25"/>
      <c r="F93" s="8">
        <v>45169</v>
      </c>
      <c r="G93" s="14">
        <v>4.4999999999999997E-3</v>
      </c>
      <c r="H93" s="29">
        <f>Portfolio!B93-$G93</f>
        <v>-1.8253617406450959E-2</v>
      </c>
      <c r="I93" s="29">
        <f>Portfolio!C93-$G93</f>
        <v>-2.1475960629490826E-2</v>
      </c>
      <c r="J93" s="29">
        <f>Portfolio!D93-$G93</f>
        <v>-2.46983038525307E-2</v>
      </c>
    </row>
    <row r="94" spans="1:10" ht="15">
      <c r="A94" s="28">
        <f>Data!A95</f>
        <v>45198</v>
      </c>
      <c r="B94" s="29">
        <f>Data!B95/Data!B94-1</f>
        <v>-4.7039781443630746E-2</v>
      </c>
      <c r="C94" s="29">
        <f>Data!C95/Data!C94-1</f>
        <v>-3.5220265946884655E-2</v>
      </c>
      <c r="D94" s="29">
        <f>Data!D95/Data!D94-1</f>
        <v>-3.138810230566369E-2</v>
      </c>
      <c r="E94" s="25"/>
      <c r="F94" s="8">
        <v>45198</v>
      </c>
      <c r="G94" s="14">
        <v>4.3E-3</v>
      </c>
      <c r="H94" s="29">
        <f>Portfolio!B94-$G94</f>
        <v>-4.07668224111759E-2</v>
      </c>
      <c r="I94" s="29">
        <f>Portfolio!C94-$G94</f>
        <v>-4.3306182463932009E-2</v>
      </c>
      <c r="J94" s="29">
        <f>Portfolio!D94-$G94</f>
        <v>-4.5845542516688119E-2</v>
      </c>
    </row>
    <row r="95" spans="1:10" ht="15">
      <c r="A95" s="28">
        <f>Data!A96</f>
        <v>45230</v>
      </c>
      <c r="B95" s="29">
        <f>Data!B96/Data!B95-1</f>
        <v>-2.2099064695490944E-2</v>
      </c>
      <c r="C95" s="29">
        <f>Data!C96/Data!C95-1</f>
        <v>-3.5005891921906507E-2</v>
      </c>
      <c r="D95" s="29">
        <f>Data!D96/Data!D95-1</f>
        <v>-1.9277442242778942E-2</v>
      </c>
      <c r="E95" s="25"/>
      <c r="F95" s="8">
        <v>45230</v>
      </c>
      <c r="G95" s="14">
        <v>4.7000000000000002E-3</v>
      </c>
      <c r="H95" s="29">
        <f>Portfolio!B95-$G95</f>
        <v>-2.6396773946505296E-2</v>
      </c>
      <c r="I95" s="29">
        <f>Portfolio!C95-$G95</f>
        <v>-2.7606439798368475E-2</v>
      </c>
      <c r="J95" s="29">
        <f>Portfolio!D95-$G95</f>
        <v>-2.8816105650231651E-2</v>
      </c>
    </row>
    <row r="96" spans="1:10" ht="15">
      <c r="A96" s="28">
        <f>Data!A97</f>
        <v>45260</v>
      </c>
      <c r="B96" s="29">
        <f>Data!B97/Data!B96-1</f>
        <v>9.1632265734709284E-2</v>
      </c>
      <c r="C96" s="29">
        <f>Data!C97/Data!C96-1</f>
        <v>8.3952397666344769E-2</v>
      </c>
      <c r="D96" s="29">
        <f>Data!D97/Data!D96-1</f>
        <v>4.5544887214229002E-2</v>
      </c>
      <c r="E96" s="25"/>
      <c r="F96" s="8">
        <v>45260</v>
      </c>
      <c r="G96" s="14">
        <v>4.4000000000000003E-3</v>
      </c>
      <c r="H96" s="29">
        <f>Portfolio!B96-$G96</f>
        <v>5.8811851815584668E-2</v>
      </c>
      <c r="I96" s="29">
        <f>Portfolio!C96-$G96</f>
        <v>6.7645334116262501E-2</v>
      </c>
      <c r="J96" s="29">
        <f>Portfolio!D96-$G96</f>
        <v>7.6478816416940334E-2</v>
      </c>
    </row>
    <row r="97" spans="1:10" ht="15">
      <c r="A97" s="28">
        <f>Data!A98</f>
        <v>45289</v>
      </c>
      <c r="B97" s="29">
        <f>Data!B98/Data!B97-1</f>
        <v>4.6109664675655804E-2</v>
      </c>
      <c r="C97" s="29">
        <f>Data!C98/Data!C97-1</f>
        <v>5.1732099776161666E-2</v>
      </c>
      <c r="D97" s="29">
        <f>Data!D98/Data!D97-1</f>
        <v>3.7722530934589882E-2</v>
      </c>
      <c r="E97" s="25"/>
      <c r="F97" s="8">
        <v>45289</v>
      </c>
      <c r="G97" s="14">
        <v>4.3E-3</v>
      </c>
      <c r="H97" s="29">
        <f>Portfolio!B97-$G97</f>
        <v>3.7339627941066836E-2</v>
      </c>
      <c r="I97" s="29">
        <f>Portfolio!C97-$G97</f>
        <v>3.9298176444305319E-2</v>
      </c>
      <c r="J97" s="29">
        <f>Portfolio!D97-$G97</f>
        <v>4.1256724947543788E-2</v>
      </c>
    </row>
    <row r="98" spans="1:10" ht="15">
      <c r="A98" s="28">
        <f>Data!A99</f>
        <v>45322</v>
      </c>
      <c r="B98" s="29">
        <f>Data!B99/Data!B98-1</f>
        <v>1.5849023338761814E-2</v>
      </c>
      <c r="C98" s="29">
        <f>Data!C99/Data!C98-1</f>
        <v>-1.70953192712332E-2</v>
      </c>
      <c r="D98" s="29">
        <f>Data!D99/Data!D98-1</f>
        <v>7.2606175550360419E-4</v>
      </c>
      <c r="E98" s="25"/>
      <c r="F98" s="8">
        <v>45322</v>
      </c>
      <c r="G98" s="14">
        <v>4.7000000000000002E-3</v>
      </c>
      <c r="H98" s="29">
        <f>Portfolio!B98-$G98</f>
        <v>-1.2191878721926138E-3</v>
      </c>
      <c r="I98" s="29">
        <f>Portfolio!C98-$G98</f>
        <v>1.5818731395927845E-4</v>
      </c>
      <c r="J98" s="29">
        <f>Portfolio!D98-$G98</f>
        <v>1.5355625001111685E-3</v>
      </c>
    </row>
    <row r="99" spans="1:10" ht="15">
      <c r="A99" s="28">
        <f>Data!A100</f>
        <v>45351</v>
      </c>
      <c r="B99" s="29">
        <f>Data!B100/Data!B99-1</f>
        <v>5.2040428245299752E-2</v>
      </c>
      <c r="C99" s="29">
        <f>Data!C100/Data!C99-1</f>
        <v>2.9614524639674622E-2</v>
      </c>
      <c r="D99" s="29">
        <f>Data!D100/Data!D99-1</f>
        <v>-2.0826118782712011E-2</v>
      </c>
      <c r="E99" s="25"/>
      <c r="F99" s="8">
        <v>45351</v>
      </c>
      <c r="G99" s="14">
        <v>4.1999999999999997E-3</v>
      </c>
      <c r="H99" s="29">
        <f>Portfolio!B99-$G99</f>
        <v>1.877909667930183E-3</v>
      </c>
      <c r="I99" s="29">
        <f>Portfolio!C99-$G99</f>
        <v>1.5329923893251281E-2</v>
      </c>
      <c r="J99" s="29">
        <f>Portfolio!D99-$G99</f>
        <v>2.8781938118572378E-2</v>
      </c>
    </row>
    <row r="100" spans="1:10" ht="15">
      <c r="A100" s="28">
        <f>Data!A101</f>
        <v>45379</v>
      </c>
      <c r="B100" s="29">
        <f>Data!B101/Data!B100-1</f>
        <v>3.3213147003595012E-2</v>
      </c>
      <c r="C100" s="29">
        <f>Data!C101/Data!C100-1</f>
        <v>3.2719592846013779E-2</v>
      </c>
      <c r="D100" s="29">
        <f>Data!D101/Data!D100-1</f>
        <v>7.3317534925025907E-3</v>
      </c>
      <c r="E100" s="25"/>
      <c r="F100" s="8">
        <v>45379</v>
      </c>
      <c r="G100" s="14">
        <v>4.3E-3</v>
      </c>
      <c r="H100" s="29">
        <f>Portfolio!B100-$G100</f>
        <v>1.3334955481181436E-2</v>
      </c>
      <c r="I100" s="29">
        <f>Portfolio!C100-$G100</f>
        <v>1.848655647552086E-2</v>
      </c>
      <c r="J100" s="29">
        <f>Portfolio!D100-$G100</f>
        <v>2.3638157469860283E-2</v>
      </c>
    </row>
    <row r="101" spans="1:10" ht="15">
      <c r="A101" s="28">
        <f>Data!A102</f>
        <v>45412</v>
      </c>
      <c r="B101" s="29">
        <f>Data!B102/Data!B101-1</f>
        <v>-4.0495928701461903E-2</v>
      </c>
      <c r="C101" s="29">
        <f>Data!C102/Data!C101-1</f>
        <v>-2.4020065680371405E-2</v>
      </c>
      <c r="D101" s="29">
        <f>Data!D102/Data!D101-1</f>
        <v>-3.1297523269591898E-2</v>
      </c>
      <c r="E101" s="25"/>
      <c r="F101" s="8">
        <v>45412</v>
      </c>
      <c r="G101" s="14">
        <v>4.7000000000000002E-3</v>
      </c>
      <c r="H101" s="29">
        <f>Portfolio!B101-$G101</f>
        <v>-3.802929914023085E-2</v>
      </c>
      <c r="I101" s="29">
        <f>Portfolio!C101-$G101</f>
        <v>-3.9045187075550332E-2</v>
      </c>
      <c r="J101" s="29">
        <f>Portfolio!D101-$G101</f>
        <v>-4.00610750108698E-2</v>
      </c>
    </row>
    <row r="102" spans="1:10" ht="15">
      <c r="A102" s="28">
        <f>Data!A103</f>
        <v>45443</v>
      </c>
      <c r="B102" s="29">
        <f>Data!B103/Data!B102-1</f>
        <v>5.0590490697713708E-2</v>
      </c>
      <c r="C102" s="29">
        <f>Data!C103/Data!C102-1</f>
        <v>4.0615865528065953E-2</v>
      </c>
      <c r="D102" s="29">
        <f>Data!D103/Data!D102-1</f>
        <v>1.8001491169664652E-2</v>
      </c>
      <c r="E102" s="25"/>
      <c r="F102" s="8">
        <v>45443</v>
      </c>
      <c r="G102" s="14">
        <v>4.4000000000000003E-3</v>
      </c>
      <c r="H102" s="29">
        <f>Portfolio!B102-$G102</f>
        <v>2.5639628463919498E-2</v>
      </c>
      <c r="I102" s="29">
        <f>Portfolio!C102-$G102</f>
        <v>3.1658697111046921E-2</v>
      </c>
      <c r="J102" s="29">
        <f>Portfolio!D102-$G102</f>
        <v>3.7677765758174345E-2</v>
      </c>
    </row>
    <row r="103" spans="1:10" ht="15">
      <c r="A103" s="28">
        <f>Data!A104</f>
        <v>45471</v>
      </c>
      <c r="B103" s="29">
        <f>Data!B104/Data!B103-1</f>
        <v>3.5686769651174233E-2</v>
      </c>
      <c r="C103" s="29">
        <f>Data!C104/Data!C103-1</f>
        <v>-5.0520180938450343E-3</v>
      </c>
      <c r="D103" s="29">
        <f>Data!D104/Data!D103-1</f>
        <v>1.2170057177914417E-2</v>
      </c>
      <c r="E103" s="25"/>
      <c r="F103" s="8">
        <v>45471</v>
      </c>
      <c r="G103" s="14">
        <v>4.1000000000000003E-3</v>
      </c>
      <c r="H103" s="29">
        <f>Portfolio!B103-$G103</f>
        <v>1.3402863392716416E-2</v>
      </c>
      <c r="I103" s="29">
        <f>Portfolio!C103-$G103</f>
        <v>1.6069266500117418E-2</v>
      </c>
      <c r="J103" s="29">
        <f>Portfolio!D103-$G103</f>
        <v>1.8735669607518414E-2</v>
      </c>
    </row>
    <row r="104" spans="1:10" ht="15">
      <c r="A104" s="28">
        <f>Data!A105</f>
        <v>45504</v>
      </c>
      <c r="B104" s="29">
        <f>Data!B105/Data!B104-1</f>
        <v>1.112872903506501E-2</v>
      </c>
      <c r="C104" s="29">
        <f>Data!C105/Data!C104-1</f>
        <v>2.4126547235032714E-2</v>
      </c>
      <c r="D104" s="29">
        <f>Data!D105/Data!D104-1</f>
        <v>2.8972165566187424E-2</v>
      </c>
      <c r="E104" s="25"/>
      <c r="F104" s="8">
        <v>45504</v>
      </c>
      <c r="G104" s="14">
        <v>4.4999999999999997E-3</v>
      </c>
      <c r="H104" s="29">
        <f>Portfolio!B104-$G104</f>
        <v>1.8634572773735227E-2</v>
      </c>
      <c r="I104" s="29">
        <f>Portfolio!C104-$G104</f>
        <v>1.5715776377509132E-2</v>
      </c>
      <c r="J104" s="29">
        <f>Portfolio!D104-$G104</f>
        <v>1.2796979981283031E-2</v>
      </c>
    </row>
    <row r="105" spans="1:10" ht="15">
      <c r="A105" s="28">
        <f>Data!A106</f>
        <v>45534</v>
      </c>
      <c r="B105" s="29">
        <f>Data!B106/Data!B105-1</f>
        <v>2.427170100653453E-2</v>
      </c>
      <c r="C105" s="29">
        <f>Data!C106/Data!C105-1</f>
        <v>2.399178894753029E-2</v>
      </c>
      <c r="D105" s="29">
        <f>Data!D106/Data!D105-1</f>
        <v>1.3457834542932812E-2</v>
      </c>
      <c r="E105" s="25"/>
      <c r="F105" s="8">
        <v>45534</v>
      </c>
      <c r="G105" s="14">
        <v>4.7999999999999996E-3</v>
      </c>
      <c r="H105" s="29">
        <f>Portfolio!B105-$G105</f>
        <v>1.2955389922473075E-2</v>
      </c>
      <c r="I105" s="29">
        <f>Portfolio!C105-$G105</f>
        <v>1.5104167612243209E-2</v>
      </c>
      <c r="J105" s="29">
        <f>Portfolio!D105-$G105</f>
        <v>1.725294530201334E-2</v>
      </c>
    </row>
    <row r="106" spans="1:10" ht="15">
      <c r="A106" s="28">
        <f>Data!A107</f>
        <v>45565</v>
      </c>
      <c r="B106" s="29">
        <f>Data!B107/Data!B106-1</f>
        <v>2.1731065585623099E-2</v>
      </c>
      <c r="C106" s="29">
        <f>Data!C107/Data!C106-1</f>
        <v>2.5123621494573811E-2</v>
      </c>
      <c r="D106" s="29">
        <f>Data!D107/Data!D106-1</f>
        <v>1.3824725923561099E-2</v>
      </c>
      <c r="E106" s="25"/>
      <c r="F106" s="8">
        <v>45565</v>
      </c>
      <c r="G106" s="14">
        <v>4.0000000000000001E-3</v>
      </c>
      <c r="H106" s="29">
        <f>Portfolio!B106-$G106</f>
        <v>1.3326517379280967E-2</v>
      </c>
      <c r="I106" s="29">
        <f>Portfolio!C106-$G106</f>
        <v>1.5077413107140909E-2</v>
      </c>
      <c r="J106" s="29">
        <f>Portfolio!D106-$G106</f>
        <v>1.6828308835000839E-2</v>
      </c>
    </row>
    <row r="107" spans="1:10" ht="15">
      <c r="A107" s="28">
        <f>Data!A108</f>
        <v>45596</v>
      </c>
      <c r="B107" s="29">
        <f>Data!B108/Data!B107-1</f>
        <v>-9.6738983622935981E-3</v>
      </c>
      <c r="C107" s="29">
        <f>Data!C108/Data!C107-1</f>
        <v>-4.5022631345073449E-2</v>
      </c>
      <c r="D107" s="29">
        <f>Data!D108/Data!D107-1</f>
        <v>-3.3873633251193747E-2</v>
      </c>
      <c r="E107" s="25"/>
      <c r="F107" s="8">
        <v>45596</v>
      </c>
      <c r="G107" s="14">
        <v>3.8999999999999998E-3</v>
      </c>
      <c r="H107" s="29">
        <f>Portfolio!B107-$G107</f>
        <v>-3.162861259391167E-2</v>
      </c>
      <c r="I107" s="29">
        <f>Portfolio!C107-$G107</f>
        <v>-2.8556102265270639E-2</v>
      </c>
      <c r="J107" s="29">
        <f>Portfolio!D107-$G107</f>
        <v>-2.54835919366296E-2</v>
      </c>
    </row>
    <row r="108" spans="1:10" ht="15">
      <c r="A108" s="28">
        <f>Data!A109</f>
        <v>45625</v>
      </c>
      <c r="B108" s="29">
        <f>Data!B109/Data!B108-1</f>
        <v>5.9222142352995943E-2</v>
      </c>
      <c r="C108" s="29">
        <f>Data!C109/Data!C108-1</f>
        <v>-3.171805522949267E-3</v>
      </c>
      <c r="D108" s="29">
        <f>Data!D109/Data!D108-1</f>
        <v>1.0209099683122558E-2</v>
      </c>
      <c r="E108" s="25"/>
      <c r="F108" s="8">
        <v>45625</v>
      </c>
      <c r="G108" s="14">
        <v>4.0000000000000001E-3</v>
      </c>
      <c r="H108" s="29">
        <f>Portfolio!B108-$G108</f>
        <v>1.9574921963477394E-2</v>
      </c>
      <c r="I108" s="29">
        <f>Portfolio!C108-$G108</f>
        <v>2.6257833103654805E-2</v>
      </c>
      <c r="J108" s="29">
        <f>Portfolio!D108-$G108</f>
        <v>3.2940744243832226E-2</v>
      </c>
    </row>
    <row r="109" spans="1:10" ht="15">
      <c r="A109" s="28">
        <f>Data!A110</f>
        <v>45657</v>
      </c>
      <c r="B109" s="29">
        <f>Data!B110/Data!B109-1</f>
        <v>-2.3671394590422667E-2</v>
      </c>
      <c r="C109" s="29">
        <f>Data!C110/Data!C109-1</f>
        <v>-2.6710271982695044E-2</v>
      </c>
      <c r="D109" s="29">
        <f>Data!D110/Data!D109-1</f>
        <v>-2.2583783651429989E-2</v>
      </c>
      <c r="E109" s="25"/>
      <c r="F109" s="8">
        <v>45657</v>
      </c>
      <c r="G109" s="14">
        <v>3.7000000000000002E-3</v>
      </c>
      <c r="H109" s="29">
        <f>Portfolio!B109-$G109</f>
        <v>-2.7022715766254299E-2</v>
      </c>
      <c r="I109" s="29">
        <f>Portfolio!C109-$G109</f>
        <v>-2.7392181823666456E-2</v>
      </c>
      <c r="J109" s="29">
        <f>Portfolio!D109-$G109</f>
        <v>-2.7761647881078606E-2</v>
      </c>
    </row>
    <row r="110" spans="1:10" ht="15">
      <c r="A110" s="28">
        <f>Data!A111</f>
        <v>45688</v>
      </c>
      <c r="B110" s="29">
        <f>Data!B111/Data!B110-1</f>
        <v>2.7145494518134194E-2</v>
      </c>
      <c r="C110" s="29">
        <f>Data!C111/Data!C110-1</f>
        <v>3.416995474029938E-2</v>
      </c>
      <c r="D110" s="29">
        <f>Data!D111/Data!D110-1</f>
        <v>6.1655250912664439E-3</v>
      </c>
      <c r="E110" s="25"/>
      <c r="F110" s="8">
        <v>45688</v>
      </c>
      <c r="G110" s="14">
        <v>3.7000000000000002E-3</v>
      </c>
      <c r="H110" s="29">
        <f>Portfolio!B110-$G110</f>
        <v>1.1559958884230063E-2</v>
      </c>
      <c r="I110" s="29">
        <f>Portfolio!C110-$G110</f>
        <v>1.6107175780711872E-2</v>
      </c>
      <c r="J110" s="29">
        <f>Portfolio!D110-$G110</f>
        <v>2.0654392677193684E-2</v>
      </c>
    </row>
    <row r="111" spans="1:10" ht="15">
      <c r="A111" s="28">
        <f>Data!A112</f>
        <v>45716</v>
      </c>
      <c r="B111" s="29">
        <f>Data!B112/Data!B111-1</f>
        <v>-1.2602250130812287E-2</v>
      </c>
      <c r="C111" s="29">
        <f>Data!C112/Data!C111-1</f>
        <v>1.856731090529995E-2</v>
      </c>
      <c r="D111" s="29">
        <f>Data!D112/Data!D111-1</f>
        <v>2.7997071509787474E-2</v>
      </c>
      <c r="E111" s="25"/>
      <c r="F111" s="8">
        <v>45716</v>
      </c>
      <c r="G111" s="14">
        <v>3.3E-3</v>
      </c>
      <c r="H111" s="29">
        <f>Portfolio!B111-$G111</f>
        <v>1.1574298957158793E-2</v>
      </c>
      <c r="I111" s="29">
        <f>Portfolio!C111-$G111</f>
        <v>5.0129126808444542E-3</v>
      </c>
      <c r="J111" s="29">
        <f>Portfolio!D111-$G111</f>
        <v>-1.5484735954698864E-3</v>
      </c>
    </row>
    <row r="112" spans="1:10" ht="15">
      <c r="A112" s="28">
        <f>Data!A113</f>
        <v>45747</v>
      </c>
      <c r="B112" s="29">
        <f>Data!B113/Data!B112-1</f>
        <v>-5.5931528071385794E-2</v>
      </c>
      <c r="C112" s="29">
        <f>Data!C113/Data!C112-1</f>
        <v>2.0094123062539548E-3</v>
      </c>
      <c r="D112" s="29">
        <f>Data!D113/Data!D112-1</f>
        <v>3.4193286356791752E-3</v>
      </c>
      <c r="E112" s="25"/>
      <c r="F112" s="8">
        <v>45747</v>
      </c>
      <c r="G112" s="14">
        <v>3.3999999999999998E-3</v>
      </c>
      <c r="H112" s="29">
        <f>Portfolio!B112-$G112</f>
        <v>-1.7926920009382834E-2</v>
      </c>
      <c r="I112" s="29">
        <f>Portfolio!C112-$G112</f>
        <v>-2.6900044331913849E-2</v>
      </c>
      <c r="J112" s="29">
        <f>Portfolio!D112-$G112</f>
        <v>-3.5873168654444842E-2</v>
      </c>
    </row>
    <row r="113" spans="1:10" ht="15">
      <c r="A113" s="28">
        <f>Data!A114</f>
        <v>45777</v>
      </c>
      <c r="B113" s="29">
        <f>Data!B114/Data!B113-1</f>
        <v>-7.0120858778252027E-3</v>
      </c>
      <c r="C113" s="29">
        <f>Data!C114/Data!C113-1</f>
        <v>3.051149693369859E-2</v>
      </c>
      <c r="D113" s="29">
        <f>Data!D114/Data!D113-1</f>
        <v>1.0561347384527853E-2</v>
      </c>
      <c r="E113" s="25"/>
      <c r="F113" s="8">
        <v>45777</v>
      </c>
      <c r="G113" s="14">
        <v>3.5000000000000001E-3</v>
      </c>
      <c r="H113" s="29">
        <f>Portfolio!B113-$G113</f>
        <v>3.7843323607390108E-3</v>
      </c>
      <c r="I113" s="29">
        <f>Portfolio!C113-$G113</f>
        <v>2.1458248488445872E-3</v>
      </c>
      <c r="J113" s="29">
        <f>Portfolio!D113-$G113</f>
        <v>5.0731733695016804E-4</v>
      </c>
    </row>
    <row r="114" spans="1:10" ht="15">
      <c r="A114" s="28">
        <f>Data!A115</f>
        <v>45807</v>
      </c>
      <c r="B114" s="29">
        <f>Data!B115/Data!B114-1</f>
        <v>6.1276902642325659E-2</v>
      </c>
      <c r="C114" s="29">
        <f>Data!C115/Data!C114-1</f>
        <v>4.8234600856610133E-2</v>
      </c>
      <c r="D114" s="29">
        <f>Data!D115/Data!D114-1</f>
        <v>-1.2396003272047484E-2</v>
      </c>
      <c r="E114" s="25"/>
      <c r="F114" s="8">
        <v>45807</v>
      </c>
      <c r="G114" s="14">
        <v>3.8E-3</v>
      </c>
      <c r="H114" s="29">
        <f>Portfolio!B114-$G114</f>
        <v>1.1968928915130224E-2</v>
      </c>
      <c r="I114" s="29">
        <f>Portfolio!C114-$G114</f>
        <v>2.6051395008719076E-2</v>
      </c>
      <c r="J114" s="29">
        <f>Portfolio!D114-$G114</f>
        <v>4.0133861102307926E-2</v>
      </c>
    </row>
    <row r="115" spans="1:10" ht="15">
      <c r="A115" s="28">
        <f>Data!A116</f>
        <v>45838</v>
      </c>
      <c r="B115" s="29">
        <f>Data!B116/Data!B115-1</f>
        <v>5.1826015651990298E-2</v>
      </c>
      <c r="C115" s="29">
        <f>Data!C116/Data!C115-1</f>
        <v>4.1107001061296611E-2</v>
      </c>
      <c r="D115" s="29">
        <f>Data!D116/Data!D115-1</f>
        <v>1.6019521731711395E-2</v>
      </c>
      <c r="E115" s="25"/>
      <c r="F115" s="8">
        <v>45838</v>
      </c>
      <c r="G115" s="14">
        <v>3.3999999999999998E-3</v>
      </c>
      <c r="H115" s="29">
        <f>Portfolio!B115-$G115</f>
        <v>2.5870217840753586E-2</v>
      </c>
      <c r="I115" s="29">
        <f>Portfolio!C115-$G115</f>
        <v>3.2495565895274685E-2</v>
      </c>
      <c r="J115" s="29">
        <f>Portfolio!D115-$G115</f>
        <v>3.9120913949795784E-2</v>
      </c>
    </row>
    <row r="116" spans="1:10" ht="15">
      <c r="A116" s="28">
        <f>Data!A117</f>
        <v>45869</v>
      </c>
      <c r="B116" s="29">
        <f>Data!B117/Data!B116-1</f>
        <v>2.2547807227684791E-2</v>
      </c>
      <c r="C116" s="29">
        <f>Data!C117/Data!C116-1</f>
        <v>-8.4076092380520606E-3</v>
      </c>
      <c r="D116" s="29">
        <f>Data!D117/Data!D116-1</f>
        <v>-5.9395397058058519E-3</v>
      </c>
      <c r="E116" s="25"/>
      <c r="F116" s="8">
        <v>45869</v>
      </c>
      <c r="G116" s="14">
        <v>3.3999999999999998E-3</v>
      </c>
      <c r="H116" s="29">
        <f>Portfolio!B116-$G116</f>
        <v>-1.0401425789832801E-3</v>
      </c>
      <c r="I116" s="29">
        <f>Portfolio!C116-$G116</f>
        <v>3.1095559844280057E-3</v>
      </c>
      <c r="J116" s="29">
        <f>Portfolio!D116-$G116</f>
        <v>7.259254547839291E-3</v>
      </c>
    </row>
    <row r="117" spans="1:10" ht="15">
      <c r="A117" s="28">
        <f>Data!A118</f>
        <v>45898</v>
      </c>
      <c r="B117" s="29">
        <f>Data!B118/Data!B117-1</f>
        <v>2.1137317050698767E-2</v>
      </c>
      <c r="C117" s="29">
        <f>Data!C118/Data!C117-1</f>
        <v>4.135139774973684E-2</v>
      </c>
      <c r="D117" s="29">
        <f>Data!D118/Data!D117-1</f>
        <v>1.6481766250556307E-2</v>
      </c>
      <c r="E117" s="25"/>
      <c r="F117" s="8">
        <v>45898</v>
      </c>
      <c r="G117" s="14">
        <v>3.8E-3</v>
      </c>
      <c r="H117" s="29">
        <f>Portfolio!B117-$G117</f>
        <v>1.6565394640517098E-2</v>
      </c>
      <c r="I117" s="29">
        <f>Portfolio!C117-$G117</f>
        <v>1.8507208835497495E-2</v>
      </c>
      <c r="J117" s="29">
        <f>Portfolio!D117-$G117</f>
        <v>2.0449023030477891E-2</v>
      </c>
    </row>
    <row r="118" spans="1:10" ht="15">
      <c r="A118" s="28">
        <f>Data!A119</f>
        <v>45930</v>
      </c>
      <c r="B118" s="29">
        <f>Data!B119/Data!B118-1</f>
        <v>3.5470842507613565E-2</v>
      </c>
      <c r="C118" s="29">
        <f>Data!C119/Data!C118-1</f>
        <v>3.4448167872128455E-2</v>
      </c>
      <c r="D118" s="29">
        <f>Data!D119/Data!D118-1</f>
        <v>6.5110392008682627E-3</v>
      </c>
      <c r="E118" s="25"/>
      <c r="F118" s="8">
        <v>45930</v>
      </c>
      <c r="G118" s="14">
        <v>3.3E-3</v>
      </c>
      <c r="H118" s="29">
        <f>Portfolio!B118-$G118</f>
        <v>1.4692693060017869E-2</v>
      </c>
      <c r="I118" s="29">
        <f>Portfolio!C118-$G118</f>
        <v>2.0433519989592676E-2</v>
      </c>
      <c r="J118" s="29">
        <f>Portfolio!D118-$G118</f>
        <v>2.6174346919167479E-2</v>
      </c>
    </row>
    <row r="119" spans="1:10" ht="15">
      <c r="A119" s="28">
        <f>Data!A120</f>
        <v>45961</v>
      </c>
      <c r="B119" s="29">
        <f>Data!B120/Data!B119-1</f>
        <v>2.3800950102690344E-2</v>
      </c>
      <c r="C119" s="29">
        <f>Data!C120/Data!C119-1</f>
        <v>1.6589913686129165E-2</v>
      </c>
      <c r="D119" s="29">
        <f>Data!D120/Data!D119-1</f>
        <v>7.1128156168962509E-3</v>
      </c>
      <c r="E119" s="25"/>
      <c r="F119" s="8">
        <v>45961</v>
      </c>
      <c r="G119" s="14">
        <v>3.7000000000000002E-3</v>
      </c>
      <c r="H119" s="29">
        <f>Portfolio!B119-$G119</f>
        <v>9.3669657695577696E-3</v>
      </c>
      <c r="I119" s="29">
        <f>Portfolio!C119-$G119</f>
        <v>1.2344040845888528E-2</v>
      </c>
      <c r="J119" s="29">
        <f>Portfolio!D119-$G119</f>
        <v>1.5321115922219289E-2</v>
      </c>
    </row>
    <row r="120" spans="1:10" ht="15">
      <c r="A120" s="28">
        <f>Data!A121</f>
        <v>45989</v>
      </c>
      <c r="B120" s="29">
        <f>Data!B121/Data!B120-1</f>
        <v>2.4079044715616948E-3</v>
      </c>
      <c r="C120" s="29">
        <f>Data!C121/Data!C120-1</f>
        <v>3.6927818937797507E-3</v>
      </c>
      <c r="D120" s="29">
        <f>Data!D121/Data!D120-1</f>
        <v>9.8813207338930287E-3</v>
      </c>
      <c r="E120" s="25"/>
      <c r="F120" s="8">
        <v>45989</v>
      </c>
      <c r="G120" s="14">
        <v>3.0000000000000001E-3</v>
      </c>
      <c r="H120" s="29">
        <f>Portfolio!B120-$G120</f>
        <v>4.0204419711823E-3</v>
      </c>
      <c r="I120" s="29">
        <f>Portfolio!C120-$G120</f>
        <v>2.5900025898269374E-3</v>
      </c>
      <c r="J120" s="29">
        <f>Portfolio!D120-$G120</f>
        <v>1.1595632084715731E-3</v>
      </c>
    </row>
    <row r="121" spans="1:10" ht="15">
      <c r="A121" s="28">
        <f>Data!A122</f>
        <v>46022</v>
      </c>
      <c r="B121" s="29">
        <f>Data!B122/Data!B121-1</f>
        <v>7.0669074044982239E-4</v>
      </c>
      <c r="C121" s="29">
        <f>Data!C122/Data!C121-1</f>
        <v>2.3378877471461168E-2</v>
      </c>
      <c r="D121" s="29">
        <f>Data!D122/Data!D121-1</f>
        <v>-7.6119670604696266E-3</v>
      </c>
      <c r="E121" s="25"/>
      <c r="F121" s="8">
        <v>46022</v>
      </c>
      <c r="G121" s="14">
        <v>3.3999999999999998E-3</v>
      </c>
      <c r="H121" s="29">
        <f>Portfolio!B121-$G121</f>
        <v>-5.4172852670007123E-3</v>
      </c>
      <c r="I121" s="29">
        <f>Portfolio!C121-$G121</f>
        <v>-2.6199443702662555E-3</v>
      </c>
      <c r="J121" s="29">
        <f>Portfolio!D121-$G121</f>
        <v>1.773965264682026E-4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E4BBE-C537-45E4-BB62-597C586983D4}">
  <dimension ref="A1:Q122"/>
  <sheetViews>
    <sheetView topLeftCell="A46" workbookViewId="0">
      <selection activeCell="F1" sqref="F1"/>
    </sheetView>
  </sheetViews>
  <sheetFormatPr defaultRowHeight="13.5"/>
  <cols>
    <col min="1" max="1" width="10.375" style="7" bestFit="1" customWidth="1"/>
    <col min="2" max="2" width="19.625" bestFit="1" customWidth="1"/>
    <col min="3" max="3" width="16.125" bestFit="1" customWidth="1"/>
    <col min="4" max="4" width="14.625" bestFit="1" customWidth="1"/>
    <col min="6" max="6" width="10.375" style="7" bestFit="1" customWidth="1"/>
    <col min="7" max="7" width="18.125" style="13" bestFit="1" customWidth="1"/>
    <col min="8" max="8" width="14.25" style="13" bestFit="1" customWidth="1"/>
    <col min="9" max="9" width="12.25" style="13" bestFit="1" customWidth="1"/>
    <col min="11" max="11" width="17.25" bestFit="1" customWidth="1"/>
    <col min="12" max="12" width="13.375" bestFit="1" customWidth="1"/>
    <col min="13" max="13" width="11.375" bestFit="1" customWidth="1"/>
    <col min="15" max="15" width="21" style="10" bestFit="1" customWidth="1"/>
    <col min="16" max="16" width="17.25" style="10" bestFit="1" customWidth="1"/>
    <col min="17" max="17" width="15.25" style="10" bestFit="1" customWidth="1"/>
  </cols>
  <sheetData>
    <row r="1" spans="1:17" ht="15">
      <c r="A1" s="6" t="s">
        <v>15</v>
      </c>
      <c r="B1" s="1" t="s">
        <v>26</v>
      </c>
      <c r="C1" s="1" t="s">
        <v>27</v>
      </c>
      <c r="D1" s="1" t="s">
        <v>28</v>
      </c>
      <c r="F1" s="6" t="s">
        <v>15</v>
      </c>
      <c r="G1" s="12" t="s">
        <v>29</v>
      </c>
      <c r="H1" s="12" t="s">
        <v>30</v>
      </c>
      <c r="I1" s="12" t="s">
        <v>31</v>
      </c>
      <c r="K1" s="1" t="s">
        <v>32</v>
      </c>
      <c r="L1" s="1" t="s">
        <v>33</v>
      </c>
      <c r="M1" s="1" t="s">
        <v>34</v>
      </c>
      <c r="O1" s="9" t="s">
        <v>35</v>
      </c>
      <c r="P1" s="9" t="s">
        <v>36</v>
      </c>
      <c r="Q1" s="9" t="s">
        <v>37</v>
      </c>
    </row>
    <row r="2" spans="1:17" ht="15">
      <c r="A2" s="28">
        <f>Returns!A2</f>
        <v>42398</v>
      </c>
      <c r="B2" s="29">
        <f>Returns!B2*Assumptions!$B$2+Returns!C2*Assumptions!$B$3+Returns!D2*Assumptions!$B$4</f>
        <v>-6.2591845901019058E-4</v>
      </c>
      <c r="C2" s="29">
        <f>Returns!B2*Assumptions!$C$2+Returns!C2*Assumptions!$C$3+Returns!D2*Assumptions!$C$4</f>
        <v>-1.7607244404769441E-2</v>
      </c>
      <c r="D2" s="29">
        <f>Returns!B2*Assumptions!$D$2+Returns!C2*Assumptions!$D$3+Returns!D2*Assumptions!$D$4</f>
        <v>-3.4588570350528688E-2</v>
      </c>
      <c r="E2" s="25"/>
      <c r="F2" s="28">
        <f>Data!A2</f>
        <v>42369</v>
      </c>
      <c r="G2" s="30">
        <f>Assumptions!$B$10</f>
        <v>10000</v>
      </c>
      <c r="H2" s="30">
        <f>Assumptions!$B$10</f>
        <v>10000</v>
      </c>
      <c r="I2" s="30">
        <f>Assumptions!$B$10</f>
        <v>10000</v>
      </c>
      <c r="J2" s="25"/>
      <c r="K2" s="30">
        <f>MAX(G$2:G2)</f>
        <v>10000</v>
      </c>
      <c r="L2" s="30">
        <f>MAX(H$2:H2)</f>
        <v>10000</v>
      </c>
      <c r="M2" s="30">
        <f>MAX(I$2:I2)</f>
        <v>10000</v>
      </c>
      <c r="N2" s="25"/>
      <c r="O2" s="29">
        <f>G2/K2-1</f>
        <v>0</v>
      </c>
      <c r="P2" s="29">
        <f>H2/L2-1</f>
        <v>0</v>
      </c>
      <c r="Q2" s="29">
        <f>I2/M2-1</f>
        <v>0</v>
      </c>
    </row>
    <row r="3" spans="1:17" ht="15">
      <c r="A3" s="28">
        <f>Returns!A3</f>
        <v>42429</v>
      </c>
      <c r="B3" s="29">
        <f>Returns!B3*Assumptions!$B$2+Returns!C3*Assumptions!$B$3+Returns!D3*Assumptions!$B$4</f>
        <v>6.8196146806352546E-3</v>
      </c>
      <c r="C3" s="29">
        <f>Returns!B3*Assumptions!$C$2+Returns!C3*Assumptions!$C$3+Returns!D3*Assumptions!$C$4</f>
        <v>2.7991910607021338E-3</v>
      </c>
      <c r="D3" s="29">
        <f>Returns!B3*Assumptions!$D$2+Returns!C3*Assumptions!$D$3+Returns!D3*Assumptions!$D$4</f>
        <v>-1.2212325592309897E-3</v>
      </c>
      <c r="E3" s="25"/>
      <c r="F3" s="28">
        <f>A2</f>
        <v>42398</v>
      </c>
      <c r="G3" s="30">
        <f>G2*(1+B2)</f>
        <v>9993.7408154098976</v>
      </c>
      <c r="H3" s="30">
        <f>H2*(1+C2)</f>
        <v>9823.9275559523048</v>
      </c>
      <c r="I3" s="30">
        <f>I2*(1+D2)</f>
        <v>9654.1142964947139</v>
      </c>
      <c r="J3" s="25"/>
      <c r="K3" s="30">
        <f>MAX(G$2:G3)</f>
        <v>10000</v>
      </c>
      <c r="L3" s="30">
        <f>MAX(H$2:H3)</f>
        <v>10000</v>
      </c>
      <c r="M3" s="30">
        <f>MAX(I$2:I3)</f>
        <v>10000</v>
      </c>
      <c r="N3" s="25"/>
      <c r="O3" s="29">
        <f t="shared" ref="O3:O66" si="0">G3/K3-1</f>
        <v>-6.2591845901027732E-4</v>
      </c>
      <c r="P3" s="29">
        <f t="shared" ref="P3:P66" si="1">H3/L3-1</f>
        <v>-1.7607244404769462E-2</v>
      </c>
      <c r="Q3" s="29">
        <f t="shared" ref="Q3:Q66" si="2">I3/M3-1</f>
        <v>-3.4588570350528647E-2</v>
      </c>
    </row>
    <row r="4" spans="1:17" ht="15">
      <c r="A4" s="28">
        <f>Returns!A4</f>
        <v>42460</v>
      </c>
      <c r="B4" s="29">
        <f>Returns!B4*Assumptions!$B$2+Returns!C4*Assumptions!$B$3+Returns!D4*Assumptions!$B$4</f>
        <v>2.627469490752965E-2</v>
      </c>
      <c r="C4" s="29">
        <f>Returns!B4*Assumptions!$C$2+Returns!C4*Assumptions!$C$3+Returns!D4*Assumptions!$C$4</f>
        <v>3.9742762818017308E-2</v>
      </c>
      <c r="D4" s="29">
        <f>Returns!B4*Assumptions!$D$2+Returns!C4*Assumptions!$D$3+Returns!D4*Assumptions!$D$4</f>
        <v>5.3210830728504965E-2</v>
      </c>
      <c r="E4" s="25"/>
      <c r="F4" s="28">
        <f t="shared" ref="F4:F67" si="3">A3</f>
        <v>42429</v>
      </c>
      <c r="G4" s="30">
        <f t="shared" ref="G4:G67" si="4">G3*(1+B3)</f>
        <v>10061.894276989129</v>
      </c>
      <c r="H4" s="30">
        <f t="shared" ref="H4:H67" si="5">H3*(1+C3)</f>
        <v>9851.426606147912</v>
      </c>
      <c r="I4" s="30">
        <f t="shared" ref="I4:I67" si="6">I3*(1+D3)</f>
        <v>9642.3243777852967</v>
      </c>
      <c r="J4" s="25"/>
      <c r="K4" s="30">
        <f>MAX(G$2:G4)</f>
        <v>10061.894276989129</v>
      </c>
      <c r="L4" s="30">
        <f>MAX(H$2:H4)</f>
        <v>10000</v>
      </c>
      <c r="M4" s="30">
        <f>MAX(I$2:I4)</f>
        <v>10000</v>
      </c>
      <c r="N4" s="25"/>
      <c r="O4" s="29">
        <f t="shared" si="0"/>
        <v>0</v>
      </c>
      <c r="P4" s="29">
        <f t="shared" si="1"/>
        <v>-1.4857339385208834E-2</v>
      </c>
      <c r="Q4" s="29">
        <f t="shared" si="2"/>
        <v>-3.5767562221470373E-2</v>
      </c>
    </row>
    <row r="5" spans="1:17" ht="15">
      <c r="A5" s="28">
        <f>Returns!A5</f>
        <v>42489</v>
      </c>
      <c r="B5" s="29">
        <f>Returns!B5*Assumptions!$B$2+Returns!C5*Assumptions!$B$3+Returns!D5*Assumptions!$B$4</f>
        <v>2.6861531612022869E-3</v>
      </c>
      <c r="C5" s="29">
        <f>Returns!B5*Assumptions!$C$2+Returns!C5*Assumptions!$C$3+Returns!D5*Assumptions!$C$4</f>
        <v>4.8102109868479849E-3</v>
      </c>
      <c r="D5" s="29">
        <f>Returns!B5*Assumptions!$D$2+Returns!C5*Assumptions!$D$3+Returns!D5*Assumptions!$D$4</f>
        <v>6.9342688124936821E-3</v>
      </c>
      <c r="E5" s="25"/>
      <c r="F5" s="28">
        <f t="shared" si="3"/>
        <v>42460</v>
      </c>
      <c r="G5" s="30">
        <f t="shared" si="4"/>
        <v>10326.267479308837</v>
      </c>
      <c r="H5" s="30">
        <f t="shared" si="5"/>
        <v>10242.949517175155</v>
      </c>
      <c r="I5" s="30">
        <f t="shared" si="6"/>
        <v>10155.400468080968</v>
      </c>
      <c r="J5" s="25"/>
      <c r="K5" s="30">
        <f>MAX(G$2:G5)</f>
        <v>10326.267479308837</v>
      </c>
      <c r="L5" s="30">
        <f>MAX(H$2:H5)</f>
        <v>10242.949517175155</v>
      </c>
      <c r="M5" s="30">
        <f>MAX(I$2:I5)</f>
        <v>10155.400468080968</v>
      </c>
      <c r="N5" s="25"/>
      <c r="O5" s="29">
        <f t="shared" si="0"/>
        <v>0</v>
      </c>
      <c r="P5" s="29">
        <f t="shared" si="1"/>
        <v>0</v>
      </c>
      <c r="Q5" s="29">
        <f t="shared" si="2"/>
        <v>0</v>
      </c>
    </row>
    <row r="6" spans="1:17" ht="15">
      <c r="A6" s="28">
        <f>Returns!A6</f>
        <v>42521</v>
      </c>
      <c r="B6" s="29">
        <f>Returns!B6*Assumptions!$B$2+Returns!C6*Assumptions!$B$3+Returns!D6*Assumptions!$B$4</f>
        <v>3.4339142551919936E-3</v>
      </c>
      <c r="C6" s="29">
        <f>Returns!B6*Assumptions!$C$2+Returns!C6*Assumptions!$C$3+Returns!D6*Assumptions!$C$4</f>
        <v>5.6469485191438474E-3</v>
      </c>
      <c r="D6" s="29">
        <f>Returns!B6*Assumptions!$D$2+Returns!C6*Assumptions!$D$3+Returns!D6*Assumptions!$D$4</f>
        <v>7.8599827830956957E-3</v>
      </c>
      <c r="E6" s="25"/>
      <c r="F6" s="28">
        <f t="shared" si="3"/>
        <v>42489</v>
      </c>
      <c r="G6" s="30">
        <f t="shared" si="4"/>
        <v>10354.005415341804</v>
      </c>
      <c r="H6" s="30">
        <f t="shared" si="5"/>
        <v>10292.2202654804</v>
      </c>
      <c r="I6" s="30">
        <f t="shared" si="6"/>
        <v>10225.820744825165</v>
      </c>
      <c r="J6" s="25"/>
      <c r="K6" s="30">
        <f>MAX(G$2:G6)</f>
        <v>10354.005415341804</v>
      </c>
      <c r="L6" s="30">
        <f>MAX(H$2:H6)</f>
        <v>10292.2202654804</v>
      </c>
      <c r="M6" s="30">
        <f>MAX(I$2:I6)</f>
        <v>10225.820744825165</v>
      </c>
      <c r="N6" s="25"/>
      <c r="O6" s="29">
        <f t="shared" si="0"/>
        <v>0</v>
      </c>
      <c r="P6" s="29">
        <f t="shared" si="1"/>
        <v>0</v>
      </c>
      <c r="Q6" s="29">
        <f t="shared" si="2"/>
        <v>0</v>
      </c>
    </row>
    <row r="7" spans="1:17" ht="15">
      <c r="A7" s="28">
        <f>Returns!A7</f>
        <v>42551</v>
      </c>
      <c r="B7" s="29">
        <f>Returns!B7*Assumptions!$B$2+Returns!C7*Assumptions!$B$3+Returns!D7*Assumptions!$B$4</f>
        <v>1.8454669977288875E-2</v>
      </c>
      <c r="C7" s="29">
        <f>Returns!B7*Assumptions!$C$2+Returns!C7*Assumptions!$C$3+Returns!D7*Assumptions!$C$4</f>
        <v>1.2243705902909125E-2</v>
      </c>
      <c r="D7" s="29">
        <f>Returns!B7*Assumptions!$D$2+Returns!C7*Assumptions!$D$3+Returns!D7*Assumptions!$D$4</f>
        <v>6.0327418285293756E-3</v>
      </c>
      <c r="E7" s="25"/>
      <c r="F7" s="28">
        <f t="shared" si="3"/>
        <v>42521</v>
      </c>
      <c r="G7" s="30">
        <f t="shared" si="4"/>
        <v>10389.560182135881</v>
      </c>
      <c r="H7" s="30">
        <f t="shared" si="5"/>
        <v>10350.339903467258</v>
      </c>
      <c r="I7" s="30">
        <f t="shared" si="6"/>
        <v>10306.195519822513</v>
      </c>
      <c r="J7" s="25"/>
      <c r="K7" s="30">
        <f>MAX(G$2:G7)</f>
        <v>10389.560182135881</v>
      </c>
      <c r="L7" s="30">
        <f>MAX(H$2:H7)</f>
        <v>10350.339903467258</v>
      </c>
      <c r="M7" s="30">
        <f>MAX(I$2:I7)</f>
        <v>10306.195519822513</v>
      </c>
      <c r="N7" s="25"/>
      <c r="O7" s="29">
        <f t="shared" si="0"/>
        <v>0</v>
      </c>
      <c r="P7" s="29">
        <f t="shared" si="1"/>
        <v>0</v>
      </c>
      <c r="Q7" s="29">
        <f t="shared" si="2"/>
        <v>0</v>
      </c>
    </row>
    <row r="8" spans="1:17" ht="15">
      <c r="A8" s="28">
        <f>Returns!A8</f>
        <v>42580</v>
      </c>
      <c r="B8" s="29">
        <f>Returns!B8*Assumptions!$B$2+Returns!C8*Assumptions!$B$3+Returns!D8*Assumptions!$B$4</f>
        <v>1.684099778225525E-2</v>
      </c>
      <c r="C8" s="29">
        <f>Returns!B8*Assumptions!$C$2+Returns!C8*Assumptions!$C$3+Returns!D8*Assumptions!$C$4</f>
        <v>2.4029264391604389E-2</v>
      </c>
      <c r="D8" s="29">
        <f>Returns!B8*Assumptions!$D$2+Returns!C8*Assumptions!$D$3+Returns!D8*Assumptions!$D$4</f>
        <v>3.1217531000953522E-2</v>
      </c>
      <c r="E8" s="25"/>
      <c r="F8" s="28">
        <f t="shared" si="3"/>
        <v>42551</v>
      </c>
      <c r="G8" s="30">
        <f t="shared" si="4"/>
        <v>10581.296086506381</v>
      </c>
      <c r="H8" s="30">
        <f t="shared" si="5"/>
        <v>10477.066421240455</v>
      </c>
      <c r="I8" s="30">
        <f t="shared" si="6"/>
        <v>10368.370136627947</v>
      </c>
      <c r="J8" s="25"/>
      <c r="K8" s="30">
        <f>MAX(G$2:G8)</f>
        <v>10581.296086506381</v>
      </c>
      <c r="L8" s="30">
        <f>MAX(H$2:H8)</f>
        <v>10477.066421240455</v>
      </c>
      <c r="M8" s="30">
        <f>MAX(I$2:I8)</f>
        <v>10368.370136627947</v>
      </c>
      <c r="N8" s="25"/>
      <c r="O8" s="29">
        <f t="shared" si="0"/>
        <v>0</v>
      </c>
      <c r="P8" s="29">
        <f t="shared" si="1"/>
        <v>0</v>
      </c>
      <c r="Q8" s="29">
        <f t="shared" si="2"/>
        <v>0</v>
      </c>
    </row>
    <row r="9" spans="1:17" ht="15">
      <c r="A9" s="28">
        <f>Returns!A9</f>
        <v>42613</v>
      </c>
      <c r="B9" s="29">
        <f>Returns!B9*Assumptions!$B$2+Returns!C9*Assumptions!$B$3+Returns!D9*Assumptions!$B$4</f>
        <v>-5.0952565789984302E-3</v>
      </c>
      <c r="C9" s="29">
        <f>Returns!B9*Assumptions!$C$2+Returns!C9*Assumptions!$C$3+Returns!D9*Assumptions!$C$4</f>
        <v>-2.5859755777759789E-3</v>
      </c>
      <c r="D9" s="29">
        <f>Returns!B9*Assumptions!$D$2+Returns!C9*Assumptions!$D$3+Returns!D9*Assumptions!$D$4</f>
        <v>-7.669457655352669E-5</v>
      </c>
      <c r="E9" s="25"/>
      <c r="F9" s="28">
        <f t="shared" si="3"/>
        <v>42580</v>
      </c>
      <c r="G9" s="30">
        <f t="shared" si="4"/>
        <v>10759.495670432621</v>
      </c>
      <c r="H9" s="30">
        <f t="shared" si="5"/>
        <v>10728.822620324843</v>
      </c>
      <c r="I9" s="30">
        <f t="shared" si="6"/>
        <v>10692.04505279749</v>
      </c>
      <c r="J9" s="25"/>
      <c r="K9" s="30">
        <f>MAX(G$2:G9)</f>
        <v>10759.495670432621</v>
      </c>
      <c r="L9" s="30">
        <f>MAX(H$2:H9)</f>
        <v>10728.822620324843</v>
      </c>
      <c r="M9" s="30">
        <f>MAX(I$2:I9)</f>
        <v>10692.04505279749</v>
      </c>
      <c r="N9" s="25"/>
      <c r="O9" s="29">
        <f t="shared" si="0"/>
        <v>0</v>
      </c>
      <c r="P9" s="29">
        <f t="shared" si="1"/>
        <v>0</v>
      </c>
      <c r="Q9" s="29">
        <f t="shared" si="2"/>
        <v>0</v>
      </c>
    </row>
    <row r="10" spans="1:17" ht="15">
      <c r="A10" s="28">
        <f>Returns!A10</f>
        <v>42643</v>
      </c>
      <c r="B10" s="29">
        <f>Returns!B10*Assumptions!$B$2+Returns!C10*Assumptions!$B$3+Returns!D10*Assumptions!$B$4</f>
        <v>3.2577268474593968E-3</v>
      </c>
      <c r="C10" s="29">
        <f>Returns!B10*Assumptions!$C$2+Returns!C10*Assumptions!$C$3+Returns!D10*Assumptions!$C$4</f>
        <v>3.6995927022134278E-3</v>
      </c>
      <c r="D10" s="29">
        <f>Returns!B10*Assumptions!$D$2+Returns!C10*Assumptions!$D$3+Returns!D10*Assumptions!$D$4</f>
        <v>4.1414585569674589E-3</v>
      </c>
      <c r="E10" s="25"/>
      <c r="F10" s="28">
        <f t="shared" si="3"/>
        <v>42613</v>
      </c>
      <c r="G10" s="30">
        <f t="shared" si="4"/>
        <v>10704.673279331144</v>
      </c>
      <c r="H10" s="30">
        <f t="shared" si="5"/>
        <v>10701.078147050393</v>
      </c>
      <c r="I10" s="30">
        <f t="shared" si="6"/>
        <v>10691.225030929674</v>
      </c>
      <c r="J10" s="25"/>
      <c r="K10" s="30">
        <f>MAX(G$2:G10)</f>
        <v>10759.495670432621</v>
      </c>
      <c r="L10" s="30">
        <f>MAX(H$2:H10)</f>
        <v>10728.822620324843</v>
      </c>
      <c r="M10" s="30">
        <f>MAX(I$2:I10)</f>
        <v>10692.04505279749</v>
      </c>
      <c r="N10" s="25"/>
      <c r="O10" s="29">
        <f t="shared" si="0"/>
        <v>-5.0952565789984527E-3</v>
      </c>
      <c r="P10" s="29">
        <f t="shared" si="1"/>
        <v>-2.5859755777759563E-3</v>
      </c>
      <c r="Q10" s="29">
        <f t="shared" si="2"/>
        <v>-7.6694576553570926E-5</v>
      </c>
    </row>
    <row r="11" spans="1:17" ht="15">
      <c r="A11" s="28">
        <f>Returns!A11</f>
        <v>42674</v>
      </c>
      <c r="B11" s="29">
        <f>Returns!B11*Assumptions!$B$2+Returns!C11*Assumptions!$B$3+Returns!D11*Assumptions!$B$4</f>
        <v>-1.6105122090176758E-2</v>
      </c>
      <c r="C11" s="29">
        <f>Returns!B11*Assumptions!$C$2+Returns!C11*Assumptions!$C$3+Returns!D11*Assumptions!$C$4</f>
        <v>-1.6683965277015621E-2</v>
      </c>
      <c r="D11" s="29">
        <f>Returns!B11*Assumptions!$D$2+Returns!C11*Assumptions!$D$3+Returns!D11*Assumptions!$D$4</f>
        <v>-1.7262808463854484E-2</v>
      </c>
      <c r="E11" s="25"/>
      <c r="F11" s="28">
        <f t="shared" si="3"/>
        <v>42643</v>
      </c>
      <c r="G11" s="30">
        <f t="shared" si="4"/>
        <v>10739.546180866502</v>
      </c>
      <c r="H11" s="30">
        <f t="shared" si="5"/>
        <v>10740.667777669036</v>
      </c>
      <c r="I11" s="30">
        <f t="shared" si="6"/>
        <v>10735.502296318482</v>
      </c>
      <c r="J11" s="25"/>
      <c r="K11" s="30">
        <f>MAX(G$2:G11)</f>
        <v>10759.495670432621</v>
      </c>
      <c r="L11" s="30">
        <f>MAX(H$2:H11)</f>
        <v>10740.667777669036</v>
      </c>
      <c r="M11" s="30">
        <f>MAX(I$2:I11)</f>
        <v>10735.502296318482</v>
      </c>
      <c r="N11" s="25"/>
      <c r="O11" s="29">
        <f t="shared" si="0"/>
        <v>-1.8541286856911254E-3</v>
      </c>
      <c r="P11" s="29">
        <f t="shared" si="1"/>
        <v>0</v>
      </c>
      <c r="Q11" s="29">
        <f t="shared" si="2"/>
        <v>0</v>
      </c>
    </row>
    <row r="12" spans="1:17" ht="15">
      <c r="A12" s="28">
        <f>Returns!A12</f>
        <v>42704</v>
      </c>
      <c r="B12" s="29">
        <f>Returns!B12*Assumptions!$B$2+Returns!C12*Assumptions!$B$3+Returns!D12*Assumptions!$B$4</f>
        <v>-1.6637964987854456E-2</v>
      </c>
      <c r="C12" s="29">
        <f>Returns!B12*Assumptions!$C$2+Returns!C12*Assumptions!$C$3+Returns!D12*Assumptions!$C$4</f>
        <v>-3.8210585219628623E-3</v>
      </c>
      <c r="D12" s="29">
        <f>Returns!B12*Assumptions!$D$2+Returns!C12*Assumptions!$D$3+Returns!D12*Assumptions!$D$4</f>
        <v>8.995847943928735E-3</v>
      </c>
      <c r="E12" s="25"/>
      <c r="F12" s="28">
        <f t="shared" si="3"/>
        <v>42674</v>
      </c>
      <c r="G12" s="30">
        <f t="shared" si="4"/>
        <v>10566.584478430555</v>
      </c>
      <c r="H12" s="30">
        <f t="shared" si="5"/>
        <v>10561.470849414445</v>
      </c>
      <c r="I12" s="30">
        <f t="shared" si="6"/>
        <v>10550.177376413865</v>
      </c>
      <c r="J12" s="25"/>
      <c r="K12" s="30">
        <f>MAX(G$2:G12)</f>
        <v>10759.495670432621</v>
      </c>
      <c r="L12" s="30">
        <f>MAX(H$2:H12)</f>
        <v>10740.667777669036</v>
      </c>
      <c r="M12" s="30">
        <f>MAX(I$2:I12)</f>
        <v>10735.502296318482</v>
      </c>
      <c r="N12" s="25"/>
      <c r="O12" s="29">
        <f t="shared" si="0"/>
        <v>-1.7929389807013973E-2</v>
      </c>
      <c r="P12" s="29">
        <f t="shared" si="1"/>
        <v>-1.6683965277015655E-2</v>
      </c>
      <c r="Q12" s="29">
        <f t="shared" si="2"/>
        <v>-1.7262808463854529E-2</v>
      </c>
    </row>
    <row r="13" spans="1:17" ht="15">
      <c r="A13" s="28">
        <f>Returns!A13</f>
        <v>42734</v>
      </c>
      <c r="B13" s="29">
        <f>Returns!B13*Assumptions!$B$2+Returns!C13*Assumptions!$B$3+Returns!D13*Assumptions!$B$4</f>
        <v>7.573965930310656E-3</v>
      </c>
      <c r="C13" s="29">
        <f>Returns!B13*Assumptions!$C$2+Returns!C13*Assumptions!$C$3+Returns!D13*Assumptions!$C$4</f>
        <v>1.1953456250127914E-2</v>
      </c>
      <c r="D13" s="29">
        <f>Returns!B13*Assumptions!$D$2+Returns!C13*Assumptions!$D$3+Returns!D13*Assumptions!$D$4</f>
        <v>1.6332946569945172E-2</v>
      </c>
      <c r="E13" s="25"/>
      <c r="F13" s="28">
        <f t="shared" si="3"/>
        <v>42704</v>
      </c>
      <c r="G13" s="30">
        <f t="shared" si="4"/>
        <v>10390.778015837222</v>
      </c>
      <c r="H13" s="30">
        <f t="shared" si="5"/>
        <v>10521.114851220827</v>
      </c>
      <c r="I13" s="30">
        <f t="shared" si="6"/>
        <v>10645.085167873562</v>
      </c>
      <c r="J13" s="25"/>
      <c r="K13" s="30">
        <f>MAX(G$2:G13)</f>
        <v>10759.495670432621</v>
      </c>
      <c r="L13" s="30">
        <f>MAX(H$2:H13)</f>
        <v>10740.667777669036</v>
      </c>
      <c r="M13" s="30">
        <f>MAX(I$2:I13)</f>
        <v>10735.502296318482</v>
      </c>
      <c r="N13" s="25"/>
      <c r="O13" s="29">
        <f t="shared" si="0"/>
        <v>-3.4269046235005707E-2</v>
      </c>
      <c r="P13" s="29">
        <f t="shared" si="1"/>
        <v>-2.044127339127666E-2</v>
      </c>
      <c r="Q13" s="29">
        <f t="shared" si="2"/>
        <v>-8.4222541199517886E-3</v>
      </c>
    </row>
    <row r="14" spans="1:17" ht="15">
      <c r="A14" s="28">
        <f>Returns!A14</f>
        <v>42766</v>
      </c>
      <c r="B14" s="29">
        <f>Returns!B14*Assumptions!$B$2+Returns!C14*Assumptions!$B$3+Returns!D14*Assumptions!$B$4</f>
        <v>1.0670229268042642E-2</v>
      </c>
      <c r="C14" s="29">
        <f>Returns!B14*Assumptions!$C$2+Returns!C14*Assumptions!$C$3+Returns!D14*Assumptions!$C$4</f>
        <v>1.4907936404385013E-2</v>
      </c>
      <c r="D14" s="29">
        <f>Returns!B14*Assumptions!$D$2+Returns!C14*Assumptions!$D$3+Returns!D14*Assumptions!$D$4</f>
        <v>1.9145643540727387E-2</v>
      </c>
      <c r="E14" s="25"/>
      <c r="F14" s="28">
        <f t="shared" si="3"/>
        <v>42734</v>
      </c>
      <c r="G14" s="30">
        <f t="shared" si="4"/>
        <v>10469.477414518595</v>
      </c>
      <c r="H14" s="30">
        <f t="shared" si="5"/>
        <v>10646.878537297467</v>
      </c>
      <c r="I14" s="30">
        <f t="shared" si="6"/>
        <v>10818.950775152956</v>
      </c>
      <c r="J14" s="25"/>
      <c r="K14" s="30">
        <f>MAX(G$2:G14)</f>
        <v>10759.495670432621</v>
      </c>
      <c r="L14" s="30">
        <f>MAX(H$2:H14)</f>
        <v>10740.667777669036</v>
      </c>
      <c r="M14" s="30">
        <f>MAX(I$2:I14)</f>
        <v>10818.950775152956</v>
      </c>
      <c r="N14" s="25"/>
      <c r="O14" s="29">
        <f t="shared" si="0"/>
        <v>-2.6954632893343211E-2</v>
      </c>
      <c r="P14" s="29">
        <f t="shared" si="1"/>
        <v>-8.7321610083281875E-3</v>
      </c>
      <c r="Q14" s="29">
        <f t="shared" si="2"/>
        <v>0</v>
      </c>
    </row>
    <row r="15" spans="1:17" ht="15">
      <c r="A15" s="28">
        <f>Returns!A15</f>
        <v>42794</v>
      </c>
      <c r="B15" s="29">
        <f>Returns!B15*Assumptions!$B$2+Returns!C15*Assumptions!$B$3+Returns!D15*Assumptions!$B$4</f>
        <v>1.7712609480280236E-2</v>
      </c>
      <c r="C15" s="29">
        <f>Returns!B15*Assumptions!$C$2+Returns!C15*Assumptions!$C$3+Returns!D15*Assumptions!$C$4</f>
        <v>2.2950981026450948E-2</v>
      </c>
      <c r="D15" s="29">
        <f>Returns!B15*Assumptions!$D$2+Returns!C15*Assumptions!$D$3+Returns!D15*Assumptions!$D$4</f>
        <v>2.8189352572621649E-2</v>
      </c>
      <c r="E15" s="25"/>
      <c r="F15" s="28">
        <f t="shared" si="3"/>
        <v>42766</v>
      </c>
      <c r="G15" s="30">
        <f t="shared" si="4"/>
        <v>10581.189138848104</v>
      </c>
      <c r="H15" s="30">
        <f t="shared" si="5"/>
        <v>10805.601525436708</v>
      </c>
      <c r="I15" s="30">
        <f t="shared" si="6"/>
        <v>11026.08655017871</v>
      </c>
      <c r="J15" s="25"/>
      <c r="K15" s="30">
        <f>MAX(G$2:G15)</f>
        <v>10759.495670432621</v>
      </c>
      <c r="L15" s="30">
        <f>MAX(H$2:H15)</f>
        <v>10805.601525436708</v>
      </c>
      <c r="M15" s="30">
        <f>MAX(I$2:I15)</f>
        <v>11026.08655017871</v>
      </c>
      <c r="N15" s="25"/>
      <c r="O15" s="29">
        <f t="shared" si="0"/>
        <v>-1.6572015738108292E-2</v>
      </c>
      <c r="P15" s="29">
        <f t="shared" si="1"/>
        <v>0</v>
      </c>
      <c r="Q15" s="29">
        <f t="shared" si="2"/>
        <v>0</v>
      </c>
    </row>
    <row r="16" spans="1:17" ht="15">
      <c r="A16" s="28">
        <f>Returns!A16</f>
        <v>42825</v>
      </c>
      <c r="B16" s="29">
        <f>Returns!B16*Assumptions!$B$2+Returns!C16*Assumptions!$B$3+Returns!D16*Assumptions!$B$4</f>
        <v>3.5178375825394739E-3</v>
      </c>
      <c r="C16" s="29">
        <f>Returns!B16*Assumptions!$C$2+Returns!C16*Assumptions!$C$3+Returns!D16*Assumptions!$C$4</f>
        <v>4.8740078845005532E-3</v>
      </c>
      <c r="D16" s="29">
        <f>Returns!B16*Assumptions!$D$2+Returns!C16*Assumptions!$D$3+Returns!D16*Assumptions!$D$4</f>
        <v>6.2301781864616329E-3</v>
      </c>
      <c r="E16" s="25"/>
      <c r="F16" s="28">
        <f t="shared" si="3"/>
        <v>42794</v>
      </c>
      <c r="G16" s="30">
        <f t="shared" si="4"/>
        <v>10768.609609901503</v>
      </c>
      <c r="H16" s="30">
        <f t="shared" si="5"/>
        <v>11053.600681026397</v>
      </c>
      <c r="I16" s="30">
        <f t="shared" si="6"/>
        <v>11336.904791437939</v>
      </c>
      <c r="J16" s="25"/>
      <c r="K16" s="30">
        <f>MAX(G$2:G16)</f>
        <v>10768.609609901503</v>
      </c>
      <c r="L16" s="30">
        <f>MAX(H$2:H16)</f>
        <v>11053.600681026397</v>
      </c>
      <c r="M16" s="30">
        <f>MAX(I$2:I16)</f>
        <v>11336.904791437939</v>
      </c>
      <c r="N16" s="25"/>
      <c r="O16" s="29">
        <f t="shared" si="0"/>
        <v>0</v>
      </c>
      <c r="P16" s="29">
        <f t="shared" si="1"/>
        <v>0</v>
      </c>
      <c r="Q16" s="29">
        <f t="shared" si="2"/>
        <v>0</v>
      </c>
    </row>
    <row r="17" spans="1:17" ht="15">
      <c r="A17" s="28">
        <f>Returns!A17</f>
        <v>42853</v>
      </c>
      <c r="B17" s="29">
        <f>Returns!B17*Assumptions!$B$2+Returns!C17*Assumptions!$B$3+Returns!D17*Assumptions!$B$4</f>
        <v>1.1903867023294691E-2</v>
      </c>
      <c r="C17" s="29">
        <f>Returns!B17*Assumptions!$C$2+Returns!C17*Assumptions!$C$3+Returns!D17*Assumptions!$C$4</f>
        <v>1.2312203076017735E-2</v>
      </c>
      <c r="D17" s="29">
        <f>Returns!B17*Assumptions!$D$2+Returns!C17*Assumptions!$D$3+Returns!D17*Assumptions!$D$4</f>
        <v>1.2720539128740783E-2</v>
      </c>
      <c r="E17" s="25"/>
      <c r="F17" s="28">
        <f t="shared" si="3"/>
        <v>42825</v>
      </c>
      <c r="G17" s="30">
        <f t="shared" si="4"/>
        <v>10806.491829498911</v>
      </c>
      <c r="H17" s="30">
        <f t="shared" si="5"/>
        <v>11107.476017897841</v>
      </c>
      <c r="I17" s="30">
        <f t="shared" si="6"/>
        <v>11407.535728371548</v>
      </c>
      <c r="J17" s="25"/>
      <c r="K17" s="30">
        <f>MAX(G$2:G17)</f>
        <v>10806.491829498911</v>
      </c>
      <c r="L17" s="30">
        <f>MAX(H$2:H17)</f>
        <v>11107.476017897841</v>
      </c>
      <c r="M17" s="30">
        <f>MAX(I$2:I17)</f>
        <v>11407.535728371548</v>
      </c>
      <c r="N17" s="25"/>
      <c r="O17" s="29">
        <f t="shared" si="0"/>
        <v>0</v>
      </c>
      <c r="P17" s="29">
        <f t="shared" si="1"/>
        <v>0</v>
      </c>
      <c r="Q17" s="29">
        <f t="shared" si="2"/>
        <v>0</v>
      </c>
    </row>
    <row r="18" spans="1:17" ht="15">
      <c r="A18" s="28">
        <f>Returns!A18</f>
        <v>42886</v>
      </c>
      <c r="B18" s="29">
        <f>Returns!B18*Assumptions!$B$2+Returns!C18*Assumptions!$B$3+Returns!D18*Assumptions!$B$4</f>
        <v>1.1962820079834003E-2</v>
      </c>
      <c r="C18" s="29">
        <f>Returns!B18*Assumptions!$C$2+Returns!C18*Assumptions!$C$3+Returns!D18*Assumptions!$C$4</f>
        <v>1.3810236828681887E-2</v>
      </c>
      <c r="D18" s="29">
        <f>Returns!B18*Assumptions!$D$2+Returns!C18*Assumptions!$D$3+Returns!D18*Assumptions!$D$4</f>
        <v>1.5657653577529775E-2</v>
      </c>
      <c r="E18" s="25"/>
      <c r="F18" s="28">
        <f t="shared" si="3"/>
        <v>42853</v>
      </c>
      <c r="G18" s="30">
        <f t="shared" si="4"/>
        <v>10935.130871225587</v>
      </c>
      <c r="H18" s="30">
        <f t="shared" si="5"/>
        <v>11244.233518292196</v>
      </c>
      <c r="I18" s="30">
        <f t="shared" si="6"/>
        <v>11552.645732966806</v>
      </c>
      <c r="J18" s="25"/>
      <c r="K18" s="30">
        <f>MAX(G$2:G18)</f>
        <v>10935.130871225587</v>
      </c>
      <c r="L18" s="30">
        <f>MAX(H$2:H18)</f>
        <v>11244.233518292196</v>
      </c>
      <c r="M18" s="30">
        <f>MAX(I$2:I18)</f>
        <v>11552.645732966806</v>
      </c>
      <c r="N18" s="25"/>
      <c r="O18" s="29">
        <f t="shared" si="0"/>
        <v>0</v>
      </c>
      <c r="P18" s="29">
        <f t="shared" si="1"/>
        <v>0</v>
      </c>
      <c r="Q18" s="29">
        <f t="shared" si="2"/>
        <v>0</v>
      </c>
    </row>
    <row r="19" spans="1:17" ht="15">
      <c r="A19" s="28">
        <f>Returns!A19</f>
        <v>42916</v>
      </c>
      <c r="B19" s="29">
        <f>Returns!B19*Assumptions!$B$2+Returns!C19*Assumptions!$B$3+Returns!D19*Assumptions!$B$4</f>
        <v>-2.3007112277324522E-4</v>
      </c>
      <c r="C19" s="29">
        <f>Returns!B19*Assumptions!$C$2+Returns!C19*Assumptions!$C$3+Returns!D19*Assumptions!$C$4</f>
        <v>2.2024306687060233E-3</v>
      </c>
      <c r="D19" s="29">
        <f>Returns!B19*Assumptions!$D$2+Returns!C19*Assumptions!$D$3+Returns!D19*Assumptions!$D$4</f>
        <v>4.6349324601852931E-3</v>
      </c>
      <c r="E19" s="25"/>
      <c r="F19" s="28">
        <f t="shared" si="3"/>
        <v>42886</v>
      </c>
      <c r="G19" s="30">
        <f t="shared" si="4"/>
        <v>11065.945874387498</v>
      </c>
      <c r="H19" s="30">
        <f t="shared" si="5"/>
        <v>11399.519046136815</v>
      </c>
      <c r="I19" s="30">
        <f t="shared" si="6"/>
        <v>11733.533057757528</v>
      </c>
      <c r="J19" s="25"/>
      <c r="K19" s="30">
        <f>MAX(G$2:G19)</f>
        <v>11065.945874387498</v>
      </c>
      <c r="L19" s="30">
        <f>MAX(H$2:H19)</f>
        <v>11399.519046136815</v>
      </c>
      <c r="M19" s="30">
        <f>MAX(I$2:I19)</f>
        <v>11733.533057757528</v>
      </c>
      <c r="N19" s="25"/>
      <c r="O19" s="29">
        <f t="shared" si="0"/>
        <v>0</v>
      </c>
      <c r="P19" s="29">
        <f t="shared" si="1"/>
        <v>0</v>
      </c>
      <c r="Q19" s="29">
        <f t="shared" si="2"/>
        <v>0</v>
      </c>
    </row>
    <row r="20" spans="1:17" ht="15">
      <c r="A20" s="28">
        <f>Returns!A20</f>
        <v>42947</v>
      </c>
      <c r="B20" s="29">
        <f>Returns!B20*Assumptions!$B$2+Returns!C20*Assumptions!$B$3+Returns!D20*Assumptions!$B$4</f>
        <v>1.2029364178893553E-2</v>
      </c>
      <c r="C20" s="29">
        <f>Returns!B20*Assumptions!$C$2+Returns!C20*Assumptions!$C$3+Returns!D20*Assumptions!$C$4</f>
        <v>1.6170057372078994E-2</v>
      </c>
      <c r="D20" s="29">
        <f>Returns!B20*Assumptions!$D$2+Returns!C20*Assumptions!$D$3+Returns!D20*Assumptions!$D$4</f>
        <v>2.0310750565264435E-2</v>
      </c>
      <c r="E20" s="25"/>
      <c r="F20" s="28">
        <f t="shared" si="3"/>
        <v>42916</v>
      </c>
      <c r="G20" s="30">
        <f t="shared" si="4"/>
        <v>11063.399919795629</v>
      </c>
      <c r="H20" s="30">
        <f t="shared" si="5"/>
        <v>11424.625696492525</v>
      </c>
      <c r="I20" s="30">
        <f t="shared" si="6"/>
        <v>11787.917190999586</v>
      </c>
      <c r="J20" s="25"/>
      <c r="K20" s="30">
        <f>MAX(G$2:G20)</f>
        <v>11065.945874387498</v>
      </c>
      <c r="L20" s="30">
        <f>MAX(H$2:H20)</f>
        <v>11424.625696492525</v>
      </c>
      <c r="M20" s="30">
        <f>MAX(I$2:I20)</f>
        <v>11787.917190999586</v>
      </c>
      <c r="N20" s="25"/>
      <c r="O20" s="29">
        <f t="shared" si="0"/>
        <v>-2.3007112277328989E-4</v>
      </c>
      <c r="P20" s="29">
        <f t="shared" si="1"/>
        <v>0</v>
      </c>
      <c r="Q20" s="29">
        <f t="shared" si="2"/>
        <v>0</v>
      </c>
    </row>
    <row r="21" spans="1:17" ht="15">
      <c r="A21" s="28">
        <f>Returns!A21</f>
        <v>42978</v>
      </c>
      <c r="B21" s="29">
        <f>Returns!B21*Assumptions!$B$2+Returns!C21*Assumptions!$B$3+Returns!D21*Assumptions!$B$4</f>
        <v>1.025662834240928E-2</v>
      </c>
      <c r="C21" s="29">
        <f>Returns!B21*Assumptions!$C$2+Returns!C21*Assumptions!$C$3+Returns!D21*Assumptions!$C$4</f>
        <v>8.0971676892546487E-3</v>
      </c>
      <c r="D21" s="29">
        <f>Returns!B21*Assumptions!$D$2+Returns!C21*Assumptions!$D$3+Returns!D21*Assumptions!$D$4</f>
        <v>5.9377070361000157E-3</v>
      </c>
      <c r="E21" s="25"/>
      <c r="F21" s="28">
        <f t="shared" si="3"/>
        <v>42947</v>
      </c>
      <c r="G21" s="30">
        <f t="shared" si="4"/>
        <v>11196.485586487592</v>
      </c>
      <c r="H21" s="30">
        <f t="shared" si="5"/>
        <v>11609.362549459336</v>
      </c>
      <c r="I21" s="30">
        <f t="shared" si="6"/>
        <v>12027.338636749972</v>
      </c>
      <c r="J21" s="25"/>
      <c r="K21" s="30">
        <f>MAX(G$2:G21)</f>
        <v>11196.485586487592</v>
      </c>
      <c r="L21" s="30">
        <f>MAX(H$2:H21)</f>
        <v>11609.362549459336</v>
      </c>
      <c r="M21" s="30">
        <f>MAX(I$2:I21)</f>
        <v>12027.338636749972</v>
      </c>
      <c r="N21" s="25"/>
      <c r="O21" s="29">
        <f t="shared" si="0"/>
        <v>0</v>
      </c>
      <c r="P21" s="29">
        <f t="shared" si="1"/>
        <v>0</v>
      </c>
      <c r="Q21" s="29">
        <f t="shared" si="2"/>
        <v>0</v>
      </c>
    </row>
    <row r="22" spans="1:17" ht="15">
      <c r="A22" s="28">
        <f>Returns!A22</f>
        <v>43007</v>
      </c>
      <c r="B22" s="29">
        <f>Returns!B22*Assumptions!$B$2+Returns!C22*Assumptions!$B$3+Returns!D22*Assumptions!$B$4</f>
        <v>-5.6864815400687815E-4</v>
      </c>
      <c r="C22" s="29">
        <f>Returns!B22*Assumptions!$C$2+Returns!C22*Assumptions!$C$3+Returns!D22*Assumptions!$C$4</f>
        <v>6.3544779098048225E-3</v>
      </c>
      <c r="D22" s="29">
        <f>Returns!B22*Assumptions!$D$2+Returns!C22*Assumptions!$D$3+Returns!D22*Assumptions!$D$4</f>
        <v>1.3277603973616525E-2</v>
      </c>
      <c r="E22" s="25"/>
      <c r="F22" s="28">
        <f t="shared" si="3"/>
        <v>42978</v>
      </c>
      <c r="G22" s="30">
        <f t="shared" si="4"/>
        <v>11311.323777889336</v>
      </c>
      <c r="H22" s="30">
        <f t="shared" si="5"/>
        <v>11703.365504787662</v>
      </c>
      <c r="I22" s="30">
        <f t="shared" si="6"/>
        <v>12098.75344999896</v>
      </c>
      <c r="J22" s="25"/>
      <c r="K22" s="30">
        <f>MAX(G$2:G22)</f>
        <v>11311.323777889336</v>
      </c>
      <c r="L22" s="30">
        <f>MAX(H$2:H22)</f>
        <v>11703.365504787662</v>
      </c>
      <c r="M22" s="30">
        <f>MAX(I$2:I22)</f>
        <v>12098.75344999896</v>
      </c>
      <c r="N22" s="25"/>
      <c r="O22" s="29">
        <f t="shared" si="0"/>
        <v>0</v>
      </c>
      <c r="P22" s="29">
        <f t="shared" si="1"/>
        <v>0</v>
      </c>
      <c r="Q22" s="29">
        <f t="shared" si="2"/>
        <v>0</v>
      </c>
    </row>
    <row r="23" spans="1:17" ht="15">
      <c r="A23" s="28">
        <f>Returns!A23</f>
        <v>43039</v>
      </c>
      <c r="B23" s="29">
        <f>Returns!B23*Assumptions!$B$2+Returns!C23*Assumptions!$B$3+Returns!D23*Assumptions!$B$4</f>
        <v>7.8244380330444677E-3</v>
      </c>
      <c r="C23" s="29">
        <f>Returns!B23*Assumptions!$C$2+Returns!C23*Assumptions!$C$3+Returns!D23*Assumptions!$C$4</f>
        <v>1.2681804655108797E-2</v>
      </c>
      <c r="D23" s="29">
        <f>Returns!B23*Assumptions!$D$2+Returns!C23*Assumptions!$D$3+Returns!D23*Assumptions!$D$4</f>
        <v>1.7539171277173127E-2</v>
      </c>
      <c r="E23" s="25"/>
      <c r="F23" s="28">
        <f t="shared" si="3"/>
        <v>43007</v>
      </c>
      <c r="G23" s="30">
        <f t="shared" si="4"/>
        <v>11304.891614503666</v>
      </c>
      <c r="H23" s="30">
        <f t="shared" si="5"/>
        <v>11777.734282358208</v>
      </c>
      <c r="I23" s="30">
        <f t="shared" si="6"/>
        <v>12259.395906882472</v>
      </c>
      <c r="J23" s="25"/>
      <c r="K23" s="30">
        <f>MAX(G$2:G23)</f>
        <v>11311.323777889336</v>
      </c>
      <c r="L23" s="30">
        <f>MAX(H$2:H23)</f>
        <v>11777.734282358208</v>
      </c>
      <c r="M23" s="30">
        <f>MAX(I$2:I23)</f>
        <v>12259.395906882472</v>
      </c>
      <c r="N23" s="25"/>
      <c r="O23" s="29">
        <f t="shared" si="0"/>
        <v>-5.6864815400681223E-4</v>
      </c>
      <c r="P23" s="29">
        <f t="shared" si="1"/>
        <v>0</v>
      </c>
      <c r="Q23" s="29">
        <f t="shared" si="2"/>
        <v>0</v>
      </c>
    </row>
    <row r="24" spans="1:17" ht="15">
      <c r="A24" s="28">
        <f>Returns!A24</f>
        <v>43069</v>
      </c>
      <c r="B24" s="29">
        <f>Returns!B24*Assumptions!$B$2+Returns!C24*Assumptions!$B$3+Returns!D24*Assumptions!$B$4</f>
        <v>8.2693220429097079E-3</v>
      </c>
      <c r="C24" s="29">
        <f>Returns!B24*Assumptions!$C$2+Returns!C24*Assumptions!$C$3+Returns!D24*Assumptions!$C$4</f>
        <v>1.3800195026515019E-2</v>
      </c>
      <c r="D24" s="29">
        <f>Returns!B24*Assumptions!$D$2+Returns!C24*Assumptions!$D$3+Returns!D24*Assumptions!$D$4</f>
        <v>1.9331068010120318E-2</v>
      </c>
      <c r="E24" s="25"/>
      <c r="F24" s="28">
        <f t="shared" si="3"/>
        <v>43039</v>
      </c>
      <c r="G24" s="30">
        <f t="shared" si="4"/>
        <v>11393.346038411635</v>
      </c>
      <c r="H24" s="30">
        <f t="shared" si="5"/>
        <v>11927.097207806852</v>
      </c>
      <c r="I24" s="30">
        <f t="shared" si="6"/>
        <v>12474.415551447957</v>
      </c>
      <c r="J24" s="25"/>
      <c r="K24" s="30">
        <f>MAX(G$2:G24)</f>
        <v>11393.346038411635</v>
      </c>
      <c r="L24" s="30">
        <f>MAX(H$2:H24)</f>
        <v>11927.097207806852</v>
      </c>
      <c r="M24" s="30">
        <f>MAX(I$2:I24)</f>
        <v>12474.415551447957</v>
      </c>
      <c r="N24" s="25"/>
      <c r="O24" s="29">
        <f t="shared" si="0"/>
        <v>0</v>
      </c>
      <c r="P24" s="29">
        <f t="shared" si="1"/>
        <v>0</v>
      </c>
      <c r="Q24" s="29">
        <f t="shared" si="2"/>
        <v>0</v>
      </c>
    </row>
    <row r="25" spans="1:17" ht="15">
      <c r="A25" s="28">
        <f>Returns!A25</f>
        <v>43098</v>
      </c>
      <c r="B25" s="29">
        <f>Returns!B25*Assumptions!$B$2+Returns!C25*Assumptions!$B$3+Returns!D25*Assumptions!$B$4</f>
        <v>6.8430439052132638E-3</v>
      </c>
      <c r="C25" s="29">
        <f>Returns!B25*Assumptions!$C$2+Returns!C25*Assumptions!$C$3+Returns!D25*Assumptions!$C$4</f>
        <v>9.3408529367544849E-3</v>
      </c>
      <c r="D25" s="29">
        <f>Returns!B25*Assumptions!$D$2+Returns!C25*Assumptions!$D$3+Returns!D25*Assumptions!$D$4</f>
        <v>1.1838661968295704E-2</v>
      </c>
      <c r="E25" s="25"/>
      <c r="F25" s="28">
        <f t="shared" si="3"/>
        <v>43069</v>
      </c>
      <c r="G25" s="30">
        <f t="shared" si="4"/>
        <v>11487.56128594957</v>
      </c>
      <c r="H25" s="30">
        <f t="shared" si="5"/>
        <v>12091.693475374788</v>
      </c>
      <c r="I25" s="30">
        <f t="shared" si="6"/>
        <v>12715.559326859502</v>
      </c>
      <c r="J25" s="25"/>
      <c r="K25" s="30">
        <f>MAX(G$2:G25)</f>
        <v>11487.56128594957</v>
      </c>
      <c r="L25" s="30">
        <f>MAX(H$2:H25)</f>
        <v>12091.693475374788</v>
      </c>
      <c r="M25" s="30">
        <f>MAX(I$2:I25)</f>
        <v>12715.559326859502</v>
      </c>
      <c r="N25" s="25"/>
      <c r="O25" s="29">
        <f t="shared" si="0"/>
        <v>0</v>
      </c>
      <c r="P25" s="29">
        <f t="shared" si="1"/>
        <v>0</v>
      </c>
      <c r="Q25" s="29">
        <f t="shared" si="2"/>
        <v>0</v>
      </c>
    </row>
    <row r="26" spans="1:17" ht="15">
      <c r="A26" s="28">
        <f>Returns!A26</f>
        <v>43131</v>
      </c>
      <c r="B26" s="29">
        <f>Returns!B26*Assumptions!$B$2+Returns!C26*Assumptions!$B$3+Returns!D26*Assumptions!$B$4</f>
        <v>9.7517414780055704E-3</v>
      </c>
      <c r="C26" s="29">
        <f>Returns!B26*Assumptions!$C$2+Returns!C26*Assumptions!$C$3+Returns!D26*Assumptions!$C$4</f>
        <v>2.537859720132711E-2</v>
      </c>
      <c r="D26" s="29">
        <f>Returns!B26*Assumptions!$D$2+Returns!C26*Assumptions!$D$3+Returns!D26*Assumptions!$D$4</f>
        <v>4.1005452924648654E-2</v>
      </c>
      <c r="E26" s="25"/>
      <c r="F26" s="28">
        <f t="shared" si="3"/>
        <v>43098</v>
      </c>
      <c r="G26" s="30">
        <f t="shared" si="4"/>
        <v>11566.17117219315</v>
      </c>
      <c r="H26" s="30">
        <f t="shared" si="5"/>
        <v>12204.640205884578</v>
      </c>
      <c r="I26" s="30">
        <f t="shared" si="6"/>
        <v>12866.094535468003</v>
      </c>
      <c r="J26" s="25"/>
      <c r="K26" s="30">
        <f>MAX(G$2:G26)</f>
        <v>11566.17117219315</v>
      </c>
      <c r="L26" s="30">
        <f>MAX(H$2:H26)</f>
        <v>12204.640205884578</v>
      </c>
      <c r="M26" s="30">
        <f>MAX(I$2:I26)</f>
        <v>12866.094535468003</v>
      </c>
      <c r="N26" s="25"/>
      <c r="O26" s="29">
        <f t="shared" si="0"/>
        <v>0</v>
      </c>
      <c r="P26" s="29">
        <f t="shared" si="1"/>
        <v>0</v>
      </c>
      <c r="Q26" s="29">
        <f t="shared" si="2"/>
        <v>0</v>
      </c>
    </row>
    <row r="27" spans="1:17" ht="15">
      <c r="A27" s="28">
        <f>Returns!A27</f>
        <v>43159</v>
      </c>
      <c r="B27" s="29">
        <f>Returns!B27*Assumptions!$B$2+Returns!C27*Assumptions!$B$3+Returns!D27*Assumptions!$B$4</f>
        <v>-2.20400225896757E-2</v>
      </c>
      <c r="C27" s="29">
        <f>Returns!B27*Assumptions!$C$2+Returns!C27*Assumptions!$C$3+Returns!D27*Assumptions!$C$4</f>
        <v>-2.8395896708067178E-2</v>
      </c>
      <c r="D27" s="29">
        <f>Returns!B27*Assumptions!$D$2+Returns!C27*Assumptions!$D$3+Returns!D27*Assumptions!$D$4</f>
        <v>-3.475177082645866E-2</v>
      </c>
      <c r="E27" s="25"/>
      <c r="F27" s="28">
        <f t="shared" si="3"/>
        <v>43131</v>
      </c>
      <c r="G27" s="30">
        <f t="shared" si="4"/>
        <v>11678.961483354737</v>
      </c>
      <c r="H27" s="30">
        <f t="shared" si="5"/>
        <v>12514.376853656846</v>
      </c>
      <c r="I27" s="30">
        <f t="shared" si="6"/>
        <v>13393.674569266215</v>
      </c>
      <c r="J27" s="25"/>
      <c r="K27" s="30">
        <f>MAX(G$2:G27)</f>
        <v>11678.961483354737</v>
      </c>
      <c r="L27" s="30">
        <f>MAX(H$2:H27)</f>
        <v>12514.376853656846</v>
      </c>
      <c r="M27" s="30">
        <f>MAX(I$2:I27)</f>
        <v>13393.674569266215</v>
      </c>
      <c r="N27" s="25"/>
      <c r="O27" s="29">
        <f t="shared" si="0"/>
        <v>0</v>
      </c>
      <c r="P27" s="29">
        <f t="shared" si="1"/>
        <v>0</v>
      </c>
      <c r="Q27" s="29">
        <f t="shared" si="2"/>
        <v>0</v>
      </c>
    </row>
    <row r="28" spans="1:17" ht="15">
      <c r="A28" s="28">
        <f>Returns!A28</f>
        <v>43188</v>
      </c>
      <c r="B28" s="29">
        <f>Returns!B28*Assumptions!$B$2+Returns!C28*Assumptions!$B$3+Returns!D28*Assumptions!$B$4</f>
        <v>-8.3012202657484213E-4</v>
      </c>
      <c r="C28" s="29">
        <f>Returns!B28*Assumptions!$C$2+Returns!C28*Assumptions!$C$3+Returns!D28*Assumptions!$C$4</f>
        <v>-7.0241682232216607E-3</v>
      </c>
      <c r="D28" s="29">
        <f>Returns!B28*Assumptions!$D$2+Returns!C28*Assumptions!$D$3+Returns!D28*Assumptions!$D$4</f>
        <v>-1.3218214419868479E-2</v>
      </c>
      <c r="E28" s="25"/>
      <c r="F28" s="28">
        <f t="shared" si="3"/>
        <v>43159</v>
      </c>
      <c r="G28" s="30">
        <f t="shared" si="4"/>
        <v>11421.556908437646</v>
      </c>
      <c r="H28" s="30">
        <f t="shared" si="5"/>
        <v>12159.019901154579</v>
      </c>
      <c r="I28" s="30">
        <f t="shared" si="6"/>
        <v>12928.220660110908</v>
      </c>
      <c r="J28" s="25"/>
      <c r="K28" s="30">
        <f>MAX(G$2:G28)</f>
        <v>11678.961483354737</v>
      </c>
      <c r="L28" s="30">
        <f>MAX(H$2:H28)</f>
        <v>12514.376853656846</v>
      </c>
      <c r="M28" s="30">
        <f>MAX(I$2:I28)</f>
        <v>13393.674569266215</v>
      </c>
      <c r="N28" s="25"/>
      <c r="O28" s="29">
        <f t="shared" si="0"/>
        <v>-2.2040022589675745E-2</v>
      </c>
      <c r="P28" s="29">
        <f t="shared" si="1"/>
        <v>-2.8395896708067192E-2</v>
      </c>
      <c r="Q28" s="29">
        <f t="shared" si="2"/>
        <v>-3.4751770826458639E-2</v>
      </c>
    </row>
    <row r="29" spans="1:17" ht="15">
      <c r="A29" s="28">
        <f>Returns!A29</f>
        <v>43220</v>
      </c>
      <c r="B29" s="29">
        <f>Returns!B29*Assumptions!$B$2+Returns!C29*Assumptions!$B$3+Returns!D29*Assumptions!$B$4</f>
        <v>-6.1526029325672527E-3</v>
      </c>
      <c r="C29" s="29">
        <f>Returns!B29*Assumptions!$C$2+Returns!C29*Assumptions!$C$3+Returns!D29*Assumptions!$C$4</f>
        <v>-2.8460654492066251E-3</v>
      </c>
      <c r="D29" s="29">
        <f>Returns!B29*Assumptions!$D$2+Returns!C29*Assumptions!$D$3+Returns!D29*Assumptions!$D$4</f>
        <v>4.6047203415400251E-4</v>
      </c>
      <c r="E29" s="25"/>
      <c r="F29" s="28">
        <f t="shared" si="3"/>
        <v>43188</v>
      </c>
      <c r="G29" s="30">
        <f t="shared" si="4"/>
        <v>11412.075622470173</v>
      </c>
      <c r="H29" s="30">
        <f t="shared" si="5"/>
        <v>12073.61289993937</v>
      </c>
      <c r="I29" s="30">
        <f t="shared" si="6"/>
        <v>12757.332667358189</v>
      </c>
      <c r="J29" s="25"/>
      <c r="K29" s="30">
        <f>MAX(G$2:G29)</f>
        <v>11678.961483354737</v>
      </c>
      <c r="L29" s="30">
        <f>MAX(H$2:H29)</f>
        <v>12514.376853656846</v>
      </c>
      <c r="M29" s="30">
        <f>MAX(I$2:I29)</f>
        <v>13393.674569266215</v>
      </c>
      <c r="N29" s="25"/>
      <c r="O29" s="29">
        <f t="shared" si="0"/>
        <v>-2.2851848708032696E-2</v>
      </c>
      <c r="P29" s="29">
        <f t="shared" si="1"/>
        <v>-3.522060737596211E-2</v>
      </c>
      <c r="Q29" s="29">
        <f t="shared" si="2"/>
        <v>-4.7510628888072892E-2</v>
      </c>
    </row>
    <row r="30" spans="1:17" ht="15">
      <c r="A30" s="28">
        <f>Returns!A30</f>
        <v>43251</v>
      </c>
      <c r="B30" s="29">
        <f>Returns!B30*Assumptions!$B$2+Returns!C30*Assumptions!$B$3+Returns!D30*Assumptions!$B$4</f>
        <v>1.1585767666280056E-2</v>
      </c>
      <c r="C30" s="29">
        <f>Returns!B30*Assumptions!$C$2+Returns!C30*Assumptions!$C$3+Returns!D30*Assumptions!$C$4</f>
        <v>1.2447796678132117E-2</v>
      </c>
      <c r="D30" s="29">
        <f>Returns!B30*Assumptions!$D$2+Returns!C30*Assumptions!$D$3+Returns!D30*Assumptions!$D$4</f>
        <v>1.3309825689984178E-2</v>
      </c>
      <c r="E30" s="25"/>
      <c r="F30" s="28">
        <f t="shared" si="3"/>
        <v>43220</v>
      </c>
      <c r="G30" s="30">
        <f t="shared" si="4"/>
        <v>11341.861652528683</v>
      </c>
      <c r="H30" s="30">
        <f t="shared" si="5"/>
        <v>12039.250607417756</v>
      </c>
      <c r="I30" s="30">
        <f t="shared" si="6"/>
        <v>12763.207062281905</v>
      </c>
      <c r="J30" s="25"/>
      <c r="K30" s="30">
        <f>MAX(G$2:G30)</f>
        <v>11678.961483354737</v>
      </c>
      <c r="L30" s="30">
        <f>MAX(H$2:H30)</f>
        <v>12514.376853656846</v>
      </c>
      <c r="M30" s="30">
        <f>MAX(I$2:I30)</f>
        <v>13393.674569266215</v>
      </c>
      <c r="N30" s="25"/>
      <c r="O30" s="29">
        <f t="shared" si="0"/>
        <v>-2.8863853289224362E-2</v>
      </c>
      <c r="P30" s="29">
        <f t="shared" si="1"/>
        <v>-3.7966432671415973E-2</v>
      </c>
      <c r="Q30" s="29">
        <f t="shared" si="2"/>
        <v>-4.7072034169847066E-2</v>
      </c>
    </row>
    <row r="31" spans="1:17" ht="15">
      <c r="A31" s="28">
        <f>Returns!A31</f>
        <v>43280</v>
      </c>
      <c r="B31" s="29">
        <f>Returns!B31*Assumptions!$B$2+Returns!C31*Assumptions!$B$3+Returns!D31*Assumptions!$B$4</f>
        <v>8.2321845972450599E-4</v>
      </c>
      <c r="C31" s="29">
        <f>Returns!B31*Assumptions!$C$2+Returns!C31*Assumptions!$C$3+Returns!D31*Assumptions!$C$4</f>
        <v>2.4773755293621162E-4</v>
      </c>
      <c r="D31" s="29">
        <f>Returns!B31*Assumptions!$D$2+Returns!C31*Assumptions!$D$3+Returns!D31*Assumptions!$D$4</f>
        <v>-3.2774335385208383E-4</v>
      </c>
      <c r="E31" s="25"/>
      <c r="F31" s="28">
        <f t="shared" si="3"/>
        <v>43251</v>
      </c>
      <c r="G31" s="30">
        <f t="shared" si="4"/>
        <v>11473.265826537972</v>
      </c>
      <c r="H31" s="30">
        <f t="shared" si="5"/>
        <v>12189.112751135972</v>
      </c>
      <c r="I31" s="30">
        <f t="shared" si="6"/>
        <v>12933.083123526052</v>
      </c>
      <c r="J31" s="25"/>
      <c r="K31" s="30">
        <f>MAX(G$2:G31)</f>
        <v>11678.961483354737</v>
      </c>
      <c r="L31" s="30">
        <f>MAX(H$2:H31)</f>
        <v>12514.376853656846</v>
      </c>
      <c r="M31" s="30">
        <f>MAX(I$2:I31)</f>
        <v>13393.674569266215</v>
      </c>
      <c r="N31" s="25"/>
      <c r="O31" s="29">
        <f t="shared" si="0"/>
        <v>-1.7612495521106775E-2</v>
      </c>
      <c r="P31" s="29">
        <f t="shared" si="1"/>
        <v>-2.5991234427771626E-2</v>
      </c>
      <c r="Q31" s="29">
        <f t="shared" si="2"/>
        <v>-3.4388729049536493E-2</v>
      </c>
    </row>
    <row r="32" spans="1:17" ht="15">
      <c r="A32" s="28">
        <f>Returns!A32</f>
        <v>43312</v>
      </c>
      <c r="B32" s="29">
        <f>Returns!B32*Assumptions!$B$2+Returns!C32*Assumptions!$B$3+Returns!D32*Assumptions!$B$4</f>
        <v>1.0451421641758539E-2</v>
      </c>
      <c r="C32" s="29">
        <f>Returns!B32*Assumptions!$C$2+Returns!C32*Assumptions!$C$3+Returns!D32*Assumptions!$C$4</f>
        <v>1.8315917035827196E-2</v>
      </c>
      <c r="D32" s="29">
        <f>Returns!B32*Assumptions!$D$2+Returns!C32*Assumptions!$D$3+Returns!D32*Assumptions!$D$4</f>
        <v>2.6180412429895859E-2</v>
      </c>
      <c r="E32" s="25"/>
      <c r="F32" s="28">
        <f t="shared" si="3"/>
        <v>43280</v>
      </c>
      <c r="G32" s="30">
        <f t="shared" si="4"/>
        <v>11482.710830759705</v>
      </c>
      <c r="H32" s="30">
        <f t="shared" si="5"/>
        <v>12192.132452101401</v>
      </c>
      <c r="I32" s="30">
        <f t="shared" si="6"/>
        <v>12928.844391487499</v>
      </c>
      <c r="J32" s="25"/>
      <c r="K32" s="30">
        <f>MAX(G$2:G32)</f>
        <v>11678.961483354737</v>
      </c>
      <c r="L32" s="30">
        <f>MAX(H$2:H32)</f>
        <v>12514.376853656846</v>
      </c>
      <c r="M32" s="30">
        <f>MAX(I$2:I32)</f>
        <v>13393.674569266215</v>
      </c>
      <c r="N32" s="25"/>
      <c r="O32" s="29">
        <f t="shared" si="0"/>
        <v>-1.6803775992817127E-2</v>
      </c>
      <c r="P32" s="29">
        <f t="shared" si="1"/>
        <v>-2.5749935879650354E-2</v>
      </c>
      <c r="Q32" s="29">
        <f t="shared" si="2"/>
        <v>-3.4705201725995227E-2</v>
      </c>
    </row>
    <row r="33" spans="1:17" ht="15">
      <c r="A33" s="28">
        <f>Returns!A33</f>
        <v>43343</v>
      </c>
      <c r="B33" s="29">
        <f>Returns!B33*Assumptions!$B$2+Returns!C33*Assumptions!$B$3+Returns!D33*Assumptions!$B$4</f>
        <v>1.3543127276957698E-2</v>
      </c>
      <c r="C33" s="29">
        <f>Returns!B33*Assumptions!$C$2+Returns!C33*Assumptions!$C$3+Returns!D33*Assumptions!$C$4</f>
        <v>1.5244573890445503E-2</v>
      </c>
      <c r="D33" s="29">
        <f>Returns!B33*Assumptions!$D$2+Returns!C33*Assumptions!$D$3+Returns!D33*Assumptions!$D$4</f>
        <v>1.6946020503933297E-2</v>
      </c>
      <c r="E33" s="25"/>
      <c r="F33" s="28">
        <f t="shared" si="3"/>
        <v>43312</v>
      </c>
      <c r="G33" s="30">
        <f t="shared" si="4"/>
        <v>11602.721483242363</v>
      </c>
      <c r="H33" s="30">
        <f t="shared" si="5"/>
        <v>12415.442538583906</v>
      </c>
      <c r="I33" s="30">
        <f t="shared" si="6"/>
        <v>13267.326869898588</v>
      </c>
      <c r="J33" s="25"/>
      <c r="K33" s="30">
        <f>MAX(G$2:G33)</f>
        <v>11678.961483354737</v>
      </c>
      <c r="L33" s="30">
        <f>MAX(H$2:H33)</f>
        <v>12514.376853656846</v>
      </c>
      <c r="M33" s="30">
        <f>MAX(I$2:I33)</f>
        <v>13393.674569266215</v>
      </c>
      <c r="N33" s="25"/>
      <c r="O33" s="29">
        <f t="shared" si="0"/>
        <v>-6.5279776991330474E-3</v>
      </c>
      <c r="P33" s="29">
        <f t="shared" si="1"/>
        <v>-7.9056525330728489E-3</v>
      </c>
      <c r="Q33" s="29">
        <f t="shared" si="2"/>
        <v>-9.4333857907485941E-3</v>
      </c>
    </row>
    <row r="34" spans="1:17" ht="15">
      <c r="A34" s="28">
        <f>Returns!A34</f>
        <v>43371</v>
      </c>
      <c r="B34" s="29">
        <f>Returns!B34*Assumptions!$B$2+Returns!C34*Assumptions!$B$3+Returns!D34*Assumptions!$B$4</f>
        <v>-5.4073038722266759E-3</v>
      </c>
      <c r="C34" s="29">
        <f>Returns!B34*Assumptions!$C$2+Returns!C34*Assumptions!$C$3+Returns!D34*Assumptions!$C$4</f>
        <v>-2.0857897994082447E-3</v>
      </c>
      <c r="D34" s="29">
        <f>Returns!B34*Assumptions!$D$2+Returns!C34*Assumptions!$D$3+Returns!D34*Assumptions!$D$4</f>
        <v>1.2357242734101878E-3</v>
      </c>
      <c r="E34" s="25"/>
      <c r="F34" s="28">
        <f t="shared" si="3"/>
        <v>43343</v>
      </c>
      <c r="G34" s="30">
        <f t="shared" si="4"/>
        <v>11759.858617049007</v>
      </c>
      <c r="H34" s="30">
        <f t="shared" si="5"/>
        <v>12604.710669745928</v>
      </c>
      <c r="I34" s="30">
        <f t="shared" si="6"/>
        <v>13492.155263068276</v>
      </c>
      <c r="J34" s="25"/>
      <c r="K34" s="30">
        <f>MAX(G$2:G34)</f>
        <v>11759.858617049007</v>
      </c>
      <c r="L34" s="30">
        <f>MAX(H$2:H34)</f>
        <v>12604.710669745928</v>
      </c>
      <c r="M34" s="30">
        <f>MAX(I$2:I34)</f>
        <v>13492.155263068276</v>
      </c>
      <c r="N34" s="25"/>
      <c r="O34" s="29">
        <f t="shared" si="0"/>
        <v>0</v>
      </c>
      <c r="P34" s="29">
        <f t="shared" si="1"/>
        <v>0</v>
      </c>
      <c r="Q34" s="29">
        <f t="shared" si="2"/>
        <v>0</v>
      </c>
    </row>
    <row r="35" spans="1:17" ht="15">
      <c r="A35" s="28">
        <f>Returns!A35</f>
        <v>43404</v>
      </c>
      <c r="B35" s="29">
        <f>Returns!B35*Assumptions!$B$2+Returns!C35*Assumptions!$B$3+Returns!D35*Assumptions!$B$4</f>
        <v>-3.0624780927982907E-2</v>
      </c>
      <c r="C35" s="29">
        <f>Returns!B35*Assumptions!$C$2+Returns!C35*Assumptions!$C$3+Returns!D35*Assumptions!$C$4</f>
        <v>-4.442172543703779E-2</v>
      </c>
      <c r="D35" s="29">
        <f>Returns!B35*Assumptions!$D$2+Returns!C35*Assumptions!$D$3+Returns!D35*Assumptions!$D$4</f>
        <v>-5.8218669946092656E-2</v>
      </c>
      <c r="E35" s="25"/>
      <c r="F35" s="28">
        <f t="shared" si="3"/>
        <v>43371</v>
      </c>
      <c r="G35" s="30">
        <f t="shared" si="4"/>
        <v>11696.2694880122</v>
      </c>
      <c r="H35" s="30">
        <f t="shared" si="5"/>
        <v>12578.41989280648</v>
      </c>
      <c r="I35" s="30">
        <f t="shared" si="6"/>
        <v>13508.827846827469</v>
      </c>
      <c r="J35" s="25"/>
      <c r="K35" s="30">
        <f>MAX(G$2:G35)</f>
        <v>11759.858617049007</v>
      </c>
      <c r="L35" s="30">
        <f>MAX(H$2:H35)</f>
        <v>12604.710669745928</v>
      </c>
      <c r="M35" s="30">
        <f>MAX(I$2:I35)</f>
        <v>13508.827846827469</v>
      </c>
      <c r="N35" s="25"/>
      <c r="O35" s="29">
        <f t="shared" si="0"/>
        <v>-5.4073038722266542E-3</v>
      </c>
      <c r="P35" s="29">
        <f t="shared" si="1"/>
        <v>-2.0857897994082109E-3</v>
      </c>
      <c r="Q35" s="29">
        <f t="shared" si="2"/>
        <v>0</v>
      </c>
    </row>
    <row r="36" spans="1:17" ht="15">
      <c r="A36" s="28">
        <f>Returns!A36</f>
        <v>43434</v>
      </c>
      <c r="B36" s="29">
        <f>Returns!B36*Assumptions!$B$2+Returns!C36*Assumptions!$B$3+Returns!D36*Assumptions!$B$4</f>
        <v>1.4937818057235975E-2</v>
      </c>
      <c r="C36" s="29">
        <f>Returns!B36*Assumptions!$C$2+Returns!C36*Assumptions!$C$3+Returns!D36*Assumptions!$C$4</f>
        <v>1.5756155589836521E-2</v>
      </c>
      <c r="D36" s="29">
        <f>Returns!B36*Assumptions!$D$2+Returns!C36*Assumptions!$D$3+Returns!D36*Assumptions!$D$4</f>
        <v>1.6574493122437063E-2</v>
      </c>
      <c r="E36" s="25"/>
      <c r="F36" s="28">
        <f t="shared" si="3"/>
        <v>43404</v>
      </c>
      <c r="G36" s="30">
        <f t="shared" si="4"/>
        <v>11338.073797267176</v>
      </c>
      <c r="H36" s="30">
        <f t="shared" si="5"/>
        <v>12019.664777896456</v>
      </c>
      <c r="I36" s="30">
        <f t="shared" si="6"/>
        <v>12722.361857054435</v>
      </c>
      <c r="J36" s="25"/>
      <c r="K36" s="30">
        <f>MAX(G$2:G36)</f>
        <v>11759.858617049007</v>
      </c>
      <c r="L36" s="30">
        <f>MAX(H$2:H36)</f>
        <v>12604.710669745928</v>
      </c>
      <c r="M36" s="30">
        <f>MAX(I$2:I36)</f>
        <v>13508.827846827469</v>
      </c>
      <c r="N36" s="25"/>
      <c r="O36" s="29">
        <f t="shared" si="0"/>
        <v>-3.5866487303711558E-2</v>
      </c>
      <c r="P36" s="29">
        <f t="shared" si="1"/>
        <v>-4.6414860854657292E-2</v>
      </c>
      <c r="Q36" s="29">
        <f t="shared" si="2"/>
        <v>-5.8218669946092705E-2</v>
      </c>
    </row>
    <row r="37" spans="1:17" ht="15">
      <c r="A37" s="28">
        <f>Returns!A37</f>
        <v>43465</v>
      </c>
      <c r="B37" s="29">
        <f>Returns!B37*Assumptions!$B$2+Returns!C37*Assumptions!$B$3+Returns!D37*Assumptions!$B$4</f>
        <v>-1.467376801537059E-2</v>
      </c>
      <c r="C37" s="29">
        <f>Returns!B37*Assumptions!$C$2+Returns!C37*Assumptions!$C$3+Returns!D37*Assumptions!$C$4</f>
        <v>-3.603172335026076E-2</v>
      </c>
      <c r="D37" s="29">
        <f>Returns!B37*Assumptions!$D$2+Returns!C37*Assumptions!$D$3+Returns!D37*Assumptions!$D$4</f>
        <v>-5.7389678685150922E-2</v>
      </c>
      <c r="E37" s="25"/>
      <c r="F37" s="28">
        <f t="shared" si="3"/>
        <v>43434</v>
      </c>
      <c r="G37" s="30">
        <f t="shared" si="4"/>
        <v>11507.439880770267</v>
      </c>
      <c r="H37" s="30">
        <f t="shared" si="5"/>
        <v>12209.048486274669</v>
      </c>
      <c r="I37" s="30">
        <f t="shared" si="6"/>
        <v>12933.228556155338</v>
      </c>
      <c r="J37" s="25"/>
      <c r="K37" s="30">
        <f>MAX(G$2:G37)</f>
        <v>11759.858617049007</v>
      </c>
      <c r="L37" s="30">
        <f>MAX(H$2:H37)</f>
        <v>12604.710669745928</v>
      </c>
      <c r="M37" s="30">
        <f>MAX(I$2:I37)</f>
        <v>13508.827846827469</v>
      </c>
      <c r="N37" s="25"/>
      <c r="O37" s="29">
        <f t="shared" si="0"/>
        <v>-2.1464436308170631E-2</v>
      </c>
      <c r="P37" s="29">
        <f t="shared" si="1"/>
        <v>-3.1390025034127467E-2</v>
      </c>
      <c r="Q37" s="29">
        <f t="shared" si="2"/>
        <v>-4.2609121768274694E-2</v>
      </c>
    </row>
    <row r="38" spans="1:17" ht="15">
      <c r="A38" s="28">
        <f>Returns!A38</f>
        <v>43496</v>
      </c>
      <c r="B38" s="29">
        <f>Returns!B38*Assumptions!$B$2+Returns!C38*Assumptions!$B$3+Returns!D38*Assumptions!$B$4</f>
        <v>3.5476509347554391E-2</v>
      </c>
      <c r="C38" s="29">
        <f>Returns!B38*Assumptions!$C$2+Returns!C38*Assumptions!$C$3+Returns!D38*Assumptions!$C$4</f>
        <v>4.9951763525145486E-2</v>
      </c>
      <c r="D38" s="29">
        <f>Returns!B38*Assumptions!$D$2+Returns!C38*Assumptions!$D$3+Returns!D38*Assumptions!$D$4</f>
        <v>6.4427017702736566E-2</v>
      </c>
      <c r="E38" s="25"/>
      <c r="F38" s="28">
        <f t="shared" si="3"/>
        <v>43465</v>
      </c>
      <c r="G38" s="30">
        <f t="shared" si="4"/>
        <v>11338.582377509021</v>
      </c>
      <c r="H38" s="30">
        <f t="shared" si="5"/>
        <v>11769.135428847301</v>
      </c>
      <c r="I38" s="30">
        <f t="shared" si="6"/>
        <v>12190.994724955965</v>
      </c>
      <c r="J38" s="25"/>
      <c r="K38" s="30">
        <f>MAX(G$2:G38)</f>
        <v>11759.858617049007</v>
      </c>
      <c r="L38" s="30">
        <f>MAX(H$2:H38)</f>
        <v>12604.710669745928</v>
      </c>
      <c r="M38" s="30">
        <f>MAX(I$2:I38)</f>
        <v>13508.827846827469</v>
      </c>
      <c r="N38" s="25"/>
      <c r="O38" s="29">
        <f t="shared" si="0"/>
        <v>-3.5823240164574388E-2</v>
      </c>
      <c r="P38" s="29">
        <f t="shared" si="1"/>
        <v>-6.6290711686400772E-2</v>
      </c>
      <c r="Q38" s="29">
        <f t="shared" si="2"/>
        <v>-9.7553476646087822E-2</v>
      </c>
    </row>
    <row r="39" spans="1:17" ht="15">
      <c r="A39" s="28">
        <f>Returns!A39</f>
        <v>43524</v>
      </c>
      <c r="B39" s="29">
        <f>Returns!B39*Assumptions!$B$2+Returns!C39*Assumptions!$B$3+Returns!D39*Assumptions!$B$4</f>
        <v>8.0898943757883989E-3</v>
      </c>
      <c r="C39" s="29">
        <f>Returns!B39*Assumptions!$C$2+Returns!C39*Assumptions!$C$3+Returns!D39*Assumptions!$C$4</f>
        <v>1.4762473488886306E-2</v>
      </c>
      <c r="D39" s="29">
        <f>Returns!B39*Assumptions!$D$2+Returns!C39*Assumptions!$D$3+Returns!D39*Assumptions!$D$4</f>
        <v>2.1435052601984219E-2</v>
      </c>
      <c r="E39" s="25"/>
      <c r="F39" s="28">
        <f t="shared" si="3"/>
        <v>43496</v>
      </c>
      <c r="G39" s="30">
        <f t="shared" si="4"/>
        <v>11740.835701212736</v>
      </c>
      <c r="H39" s="30">
        <f t="shared" si="5"/>
        <v>12357.024498684492</v>
      </c>
      <c r="I39" s="30">
        <f t="shared" si="6"/>
        <v>12976.424157914671</v>
      </c>
      <c r="J39" s="25"/>
      <c r="K39" s="30">
        <f>MAX(G$2:G39)</f>
        <v>11759.858617049007</v>
      </c>
      <c r="L39" s="30">
        <f>MAX(H$2:H39)</f>
        <v>12604.710669745928</v>
      </c>
      <c r="M39" s="30">
        <f>MAX(I$2:I39)</f>
        <v>13508.827846827469</v>
      </c>
      <c r="N39" s="25"/>
      <c r="O39" s="29">
        <f t="shared" si="0"/>
        <v>-1.6176143315781433E-3</v>
      </c>
      <c r="P39" s="29">
        <f t="shared" si="1"/>
        <v>-1.9650286115328042E-2</v>
      </c>
      <c r="Q39" s="29">
        <f t="shared" si="2"/>
        <v>-3.9411538510192301E-2</v>
      </c>
    </row>
    <row r="40" spans="1:17" ht="15">
      <c r="A40" s="28">
        <f>Returns!A40</f>
        <v>43553</v>
      </c>
      <c r="B40" s="29">
        <f>Returns!B40*Assumptions!$B$2+Returns!C40*Assumptions!$B$3+Returns!D40*Assumptions!$B$4</f>
        <v>2.2669923198937146E-2</v>
      </c>
      <c r="C40" s="29">
        <f>Returns!B40*Assumptions!$C$2+Returns!C40*Assumptions!$C$3+Returns!D40*Assumptions!$C$4</f>
        <v>2.0729050310236787E-2</v>
      </c>
      <c r="D40" s="29">
        <f>Returns!B40*Assumptions!$D$2+Returns!C40*Assumptions!$D$3+Returns!D40*Assumptions!$D$4</f>
        <v>1.878817742153642E-2</v>
      </c>
      <c r="E40" s="25"/>
      <c r="F40" s="28">
        <f t="shared" si="3"/>
        <v>43524</v>
      </c>
      <c r="G40" s="30">
        <f t="shared" si="4"/>
        <v>11835.817821919032</v>
      </c>
      <c r="H40" s="30">
        <f t="shared" si="5"/>
        <v>12539.44474524784</v>
      </c>
      <c r="I40" s="30">
        <f t="shared" si="6"/>
        <v>13254.57449232523</v>
      </c>
      <c r="J40" s="25"/>
      <c r="K40" s="30">
        <f>MAX(G$2:G40)</f>
        <v>11835.817821919032</v>
      </c>
      <c r="L40" s="30">
        <f>MAX(H$2:H40)</f>
        <v>12604.710669745928</v>
      </c>
      <c r="M40" s="30">
        <f>MAX(I$2:I40)</f>
        <v>13508.827846827469</v>
      </c>
      <c r="N40" s="25"/>
      <c r="O40" s="29">
        <f t="shared" si="0"/>
        <v>0</v>
      </c>
      <c r="P40" s="29">
        <f t="shared" si="1"/>
        <v>-5.1778994542683865E-3</v>
      </c>
      <c r="Q40" s="29">
        <f t="shared" si="2"/>
        <v>-1.8821274309299252E-2</v>
      </c>
    </row>
    <row r="41" spans="1:17" ht="15">
      <c r="A41" s="28">
        <f>Returns!A41</f>
        <v>43585</v>
      </c>
      <c r="B41" s="29">
        <f>Returns!B41*Assumptions!$B$2+Returns!C41*Assumptions!$B$3+Returns!D41*Assumptions!$B$4</f>
        <v>1.1589977926645224E-2</v>
      </c>
      <c r="C41" s="29">
        <f>Returns!B41*Assumptions!$C$2+Returns!C41*Assumptions!$C$3+Returns!D41*Assumptions!$C$4</f>
        <v>1.997760791395493E-2</v>
      </c>
      <c r="D41" s="29">
        <f>Returns!B41*Assumptions!$D$2+Returns!C41*Assumptions!$D$3+Returns!D41*Assumptions!$D$4</f>
        <v>2.8365237901264641E-2</v>
      </c>
      <c r="E41" s="25"/>
      <c r="F41" s="28">
        <f t="shared" si="3"/>
        <v>43553</v>
      </c>
      <c r="G41" s="30">
        <f t="shared" si="4"/>
        <v>12104.134902938547</v>
      </c>
      <c r="H41" s="30">
        <f t="shared" si="5"/>
        <v>12799.375526234517</v>
      </c>
      <c r="I41" s="30">
        <f t="shared" si="6"/>
        <v>13503.603789534007</v>
      </c>
      <c r="J41" s="25"/>
      <c r="K41" s="30">
        <f>MAX(G$2:G41)</f>
        <v>12104.134902938547</v>
      </c>
      <c r="L41" s="30">
        <f>MAX(H$2:H41)</f>
        <v>12799.375526234517</v>
      </c>
      <c r="M41" s="30">
        <f>MAX(I$2:I41)</f>
        <v>13508.827846827469</v>
      </c>
      <c r="N41" s="25"/>
      <c r="O41" s="29">
        <f t="shared" si="0"/>
        <v>0</v>
      </c>
      <c r="P41" s="29">
        <f t="shared" si="1"/>
        <v>0</v>
      </c>
      <c r="Q41" s="29">
        <f t="shared" si="2"/>
        <v>-3.8671432878534251E-4</v>
      </c>
    </row>
    <row r="42" spans="1:17" ht="15">
      <c r="A42" s="28">
        <f>Returns!A42</f>
        <v>43616</v>
      </c>
      <c r="B42" s="29">
        <f>Returns!B42*Assumptions!$B$2+Returns!C42*Assumptions!$B$3+Returns!D42*Assumptions!$B$4</f>
        <v>-6.0370310188717496E-3</v>
      </c>
      <c r="C42" s="29">
        <f>Returns!B42*Assumptions!$C$2+Returns!C42*Assumptions!$C$3+Returns!D42*Assumptions!$C$4</f>
        <v>-2.4298367331645462E-2</v>
      </c>
      <c r="D42" s="29">
        <f>Returns!B42*Assumptions!$D$2+Returns!C42*Assumptions!$D$3+Returns!D42*Assumptions!$D$4</f>
        <v>-4.2559703644419161E-2</v>
      </c>
      <c r="E42" s="25"/>
      <c r="F42" s="28">
        <f t="shared" si="3"/>
        <v>43585</v>
      </c>
      <c r="G42" s="30">
        <f t="shared" si="4"/>
        <v>12244.421559284741</v>
      </c>
      <c r="H42" s="30">
        <f t="shared" si="5"/>
        <v>13055.0764320411</v>
      </c>
      <c r="I42" s="30">
        <f t="shared" si="6"/>
        <v>13886.636723548558</v>
      </c>
      <c r="J42" s="25"/>
      <c r="K42" s="30">
        <f>MAX(G$2:G42)</f>
        <v>12244.421559284741</v>
      </c>
      <c r="L42" s="30">
        <f>MAX(H$2:H42)</f>
        <v>13055.0764320411</v>
      </c>
      <c r="M42" s="30">
        <f>MAX(I$2:I42)</f>
        <v>13886.636723548558</v>
      </c>
      <c r="N42" s="25"/>
      <c r="O42" s="29">
        <f t="shared" si="0"/>
        <v>0</v>
      </c>
      <c r="P42" s="29">
        <f t="shared" si="1"/>
        <v>0</v>
      </c>
      <c r="Q42" s="29">
        <f t="shared" si="2"/>
        <v>0</v>
      </c>
    </row>
    <row r="43" spans="1:17" ht="15">
      <c r="A43" s="28">
        <f>Returns!A43</f>
        <v>43644</v>
      </c>
      <c r="B43" s="29">
        <f>Returns!B43*Assumptions!$B$2+Returns!C43*Assumptions!$B$3+Returns!D43*Assumptions!$B$4</f>
        <v>3.3830973235129382E-2</v>
      </c>
      <c r="C43" s="29">
        <f>Returns!B43*Assumptions!$C$2+Returns!C43*Assumptions!$C$3+Returns!D43*Assumptions!$C$4</f>
        <v>4.4660691343585829E-2</v>
      </c>
      <c r="D43" s="29">
        <f>Returns!B43*Assumptions!$D$2+Returns!C43*Assumptions!$D$3+Returns!D43*Assumptions!$D$4</f>
        <v>5.5490409452042269E-2</v>
      </c>
      <c r="E43" s="25"/>
      <c r="F43" s="28">
        <f t="shared" si="3"/>
        <v>43616</v>
      </c>
      <c r="G43" s="30">
        <f t="shared" si="4"/>
        <v>12170.501606523198</v>
      </c>
      <c r="H43" s="30">
        <f t="shared" si="5"/>
        <v>12737.859389352658</v>
      </c>
      <c r="I43" s="30">
        <f t="shared" si="6"/>
        <v>13295.625579976622</v>
      </c>
      <c r="J43" s="25"/>
      <c r="K43" s="30">
        <f>MAX(G$2:G43)</f>
        <v>12244.421559284741</v>
      </c>
      <c r="L43" s="30">
        <f>MAX(H$2:H43)</f>
        <v>13055.0764320411</v>
      </c>
      <c r="M43" s="30">
        <f>MAX(I$2:I43)</f>
        <v>13886.636723548558</v>
      </c>
      <c r="N43" s="25"/>
      <c r="O43" s="29">
        <f t="shared" si="0"/>
        <v>-6.0370310188717635E-3</v>
      </c>
      <c r="P43" s="29">
        <f t="shared" si="1"/>
        <v>-2.4298367331645476E-2</v>
      </c>
      <c r="Q43" s="29">
        <f t="shared" si="2"/>
        <v>-4.2559703644419189E-2</v>
      </c>
    </row>
    <row r="44" spans="1:17" ht="15">
      <c r="A44" s="28">
        <f>Returns!A44</f>
        <v>43677</v>
      </c>
      <c r="B44" s="29">
        <f>Returns!B44*Assumptions!$B$2+Returns!C44*Assumptions!$B$3+Returns!D44*Assumptions!$B$4</f>
        <v>3.0157381295293881E-3</v>
      </c>
      <c r="C44" s="29">
        <f>Returns!B44*Assumptions!$C$2+Returns!C44*Assumptions!$C$3+Returns!D44*Assumptions!$C$4</f>
        <v>4.3324174994974927E-3</v>
      </c>
      <c r="D44" s="29">
        <f>Returns!B44*Assumptions!$D$2+Returns!C44*Assumptions!$D$3+Returns!D44*Assumptions!$D$4</f>
        <v>5.6490968694655969E-3</v>
      </c>
      <c r="E44" s="25"/>
      <c r="F44" s="28">
        <f t="shared" si="3"/>
        <v>43644</v>
      </c>
      <c r="G44" s="30">
        <f t="shared" si="4"/>
        <v>12582.241520631584</v>
      </c>
      <c r="H44" s="30">
        <f t="shared" si="5"/>
        <v>13306.740995918533</v>
      </c>
      <c r="I44" s="30">
        <f t="shared" si="6"/>
        <v>14033.405287330572</v>
      </c>
      <c r="J44" s="25"/>
      <c r="K44" s="30">
        <f>MAX(G$2:G44)</f>
        <v>12582.241520631584</v>
      </c>
      <c r="L44" s="30">
        <f>MAX(H$2:H44)</f>
        <v>13306.740995918533</v>
      </c>
      <c r="M44" s="30">
        <f>MAX(I$2:I44)</f>
        <v>14033.405287330572</v>
      </c>
      <c r="N44" s="25"/>
      <c r="O44" s="29">
        <f t="shared" si="0"/>
        <v>0</v>
      </c>
      <c r="P44" s="29">
        <f t="shared" si="1"/>
        <v>0</v>
      </c>
      <c r="Q44" s="29">
        <f t="shared" si="2"/>
        <v>0</v>
      </c>
    </row>
    <row r="45" spans="1:17" ht="15">
      <c r="A45" s="28">
        <f>Returns!A45</f>
        <v>43707</v>
      </c>
      <c r="B45" s="29">
        <f>Returns!B45*Assumptions!$B$2+Returns!C45*Assumptions!$B$3+Returns!D45*Assumptions!$B$4</f>
        <v>1.6445288779463531E-2</v>
      </c>
      <c r="C45" s="29">
        <f>Returns!B45*Assumptions!$C$2+Returns!C45*Assumptions!$C$3+Returns!D45*Assumptions!$C$4</f>
        <v>4.9097489249054164E-3</v>
      </c>
      <c r="D45" s="29">
        <f>Returns!B45*Assumptions!$D$2+Returns!C45*Assumptions!$D$3+Returns!D45*Assumptions!$D$4</f>
        <v>-6.6257909296526963E-3</v>
      </c>
      <c r="E45" s="25"/>
      <c r="F45" s="28">
        <f t="shared" si="3"/>
        <v>43677</v>
      </c>
      <c r="G45" s="30">
        <f t="shared" si="4"/>
        <v>12620.186266140301</v>
      </c>
      <c r="H45" s="30">
        <f t="shared" si="5"/>
        <v>13364.39135347053</v>
      </c>
      <c r="I45" s="30">
        <f t="shared" si="6"/>
        <v>14112.681353207172</v>
      </c>
      <c r="J45" s="25"/>
      <c r="K45" s="30">
        <f>MAX(G$2:G45)</f>
        <v>12620.186266140301</v>
      </c>
      <c r="L45" s="30">
        <f>MAX(H$2:H45)</f>
        <v>13364.39135347053</v>
      </c>
      <c r="M45" s="30">
        <f>MAX(I$2:I45)</f>
        <v>14112.681353207172</v>
      </c>
      <c r="N45" s="25"/>
      <c r="O45" s="29">
        <f t="shared" si="0"/>
        <v>0</v>
      </c>
      <c r="P45" s="29">
        <f t="shared" si="1"/>
        <v>0</v>
      </c>
      <c r="Q45" s="29">
        <f t="shared" si="2"/>
        <v>0</v>
      </c>
    </row>
    <row r="46" spans="1:17" ht="15">
      <c r="A46" s="28">
        <f>Returns!A46</f>
        <v>43738</v>
      </c>
      <c r="B46" s="29">
        <f>Returns!B46*Assumptions!$B$2+Returns!C46*Assumptions!$B$3+Returns!D46*Assumptions!$B$4</f>
        <v>1.350777799178293E-3</v>
      </c>
      <c r="C46" s="29">
        <f>Returns!B46*Assumptions!$C$2+Returns!C46*Assumptions!$C$3+Returns!D46*Assumptions!$C$4</f>
        <v>7.9566978963899297E-3</v>
      </c>
      <c r="D46" s="29">
        <f>Returns!B46*Assumptions!$D$2+Returns!C46*Assumptions!$D$3+Returns!D46*Assumptions!$D$4</f>
        <v>1.4562617993601566E-2</v>
      </c>
      <c r="E46" s="25"/>
      <c r="F46" s="28">
        <f t="shared" si="3"/>
        <v>43707</v>
      </c>
      <c r="G46" s="30">
        <f t="shared" si="4"/>
        <v>12827.728873737597</v>
      </c>
      <c r="H46" s="30">
        <f t="shared" si="5"/>
        <v>13430.007159550249</v>
      </c>
      <c r="I46" s="30">
        <f t="shared" si="6"/>
        <v>14019.173677104014</v>
      </c>
      <c r="J46" s="25"/>
      <c r="K46" s="30">
        <f>MAX(G$2:G46)</f>
        <v>12827.728873737597</v>
      </c>
      <c r="L46" s="30">
        <f>MAX(H$2:H46)</f>
        <v>13430.007159550249</v>
      </c>
      <c r="M46" s="30">
        <f>MAX(I$2:I46)</f>
        <v>14112.681353207172</v>
      </c>
      <c r="N46" s="25"/>
      <c r="O46" s="29">
        <f t="shared" si="0"/>
        <v>0</v>
      </c>
      <c r="P46" s="29">
        <f t="shared" si="1"/>
        <v>0</v>
      </c>
      <c r="Q46" s="29">
        <f t="shared" si="2"/>
        <v>-6.6257909296526529E-3</v>
      </c>
    </row>
    <row r="47" spans="1:17" ht="15">
      <c r="A47" s="28">
        <f>Returns!A47</f>
        <v>43769</v>
      </c>
      <c r="B47" s="29">
        <f>Returns!B47*Assumptions!$B$2+Returns!C47*Assumptions!$B$3+Returns!D47*Assumptions!$B$4</f>
        <v>1.0760659651745264E-2</v>
      </c>
      <c r="C47" s="29">
        <f>Returns!B47*Assumptions!$C$2+Returns!C47*Assumptions!$C$3+Returns!D47*Assumptions!$C$4</f>
        <v>1.520131362322431E-2</v>
      </c>
      <c r="D47" s="29">
        <f>Returns!B47*Assumptions!$D$2+Returns!C47*Assumptions!$D$3+Returns!D47*Assumptions!$D$4</f>
        <v>1.9641967594703359E-2</v>
      </c>
      <c r="E47" s="25"/>
      <c r="F47" s="28">
        <f t="shared" si="3"/>
        <v>43738</v>
      </c>
      <c r="G47" s="30">
        <f t="shared" si="4"/>
        <v>12845.05628511412</v>
      </c>
      <c r="H47" s="30">
        <f t="shared" si="5"/>
        <v>13536.865669265142</v>
      </c>
      <c r="I47" s="30">
        <f t="shared" si="6"/>
        <v>14223.329547949636</v>
      </c>
      <c r="J47" s="25"/>
      <c r="K47" s="30">
        <f>MAX(G$2:G47)</f>
        <v>12845.05628511412</v>
      </c>
      <c r="L47" s="30">
        <f>MAX(H$2:H47)</f>
        <v>13536.865669265142</v>
      </c>
      <c r="M47" s="30">
        <f>MAX(I$2:I47)</f>
        <v>14223.329547949636</v>
      </c>
      <c r="N47" s="25"/>
      <c r="O47" s="29">
        <f t="shared" si="0"/>
        <v>0</v>
      </c>
      <c r="P47" s="29">
        <f t="shared" si="1"/>
        <v>0</v>
      </c>
      <c r="Q47" s="29">
        <f t="shared" si="2"/>
        <v>0</v>
      </c>
    </row>
    <row r="48" spans="1:17" ht="15">
      <c r="A48" s="28">
        <f>Returns!A48</f>
        <v>43798</v>
      </c>
      <c r="B48" s="29">
        <f>Returns!B48*Assumptions!$B$2+Returns!C48*Assumptions!$B$3+Returns!D48*Assumptions!$B$4</f>
        <v>7.9612777665161397E-3</v>
      </c>
      <c r="C48" s="29">
        <f>Returns!B48*Assumptions!$C$2+Returns!C48*Assumptions!$C$3+Returns!D48*Assumptions!$C$4</f>
        <v>1.5377701855395698E-2</v>
      </c>
      <c r="D48" s="29">
        <f>Returns!B48*Assumptions!$D$2+Returns!C48*Assumptions!$D$3+Returns!D48*Assumptions!$D$4</f>
        <v>2.2794125944275257E-2</v>
      </c>
      <c r="E48" s="25"/>
      <c r="F48" s="28">
        <f t="shared" si="3"/>
        <v>43769</v>
      </c>
      <c r="G48" s="30">
        <f t="shared" si="4"/>
        <v>12983.277564005746</v>
      </c>
      <c r="H48" s="30">
        <f t="shared" si="5"/>
        <v>13742.6438097791</v>
      </c>
      <c r="I48" s="30">
        <f t="shared" si="6"/>
        <v>14502.703726019248</v>
      </c>
      <c r="J48" s="25"/>
      <c r="K48" s="30">
        <f>MAX(G$2:G48)</f>
        <v>12983.277564005746</v>
      </c>
      <c r="L48" s="30">
        <f>MAX(H$2:H48)</f>
        <v>13742.6438097791</v>
      </c>
      <c r="M48" s="30">
        <f>MAX(I$2:I48)</f>
        <v>14502.703726019248</v>
      </c>
      <c r="N48" s="25"/>
      <c r="O48" s="29">
        <f t="shared" si="0"/>
        <v>0</v>
      </c>
      <c r="P48" s="29">
        <f t="shared" si="1"/>
        <v>0</v>
      </c>
      <c r="Q48" s="29">
        <f t="shared" si="2"/>
        <v>0</v>
      </c>
    </row>
    <row r="49" spans="1:17" ht="15">
      <c r="A49" s="28">
        <f>Returns!A49</f>
        <v>43830</v>
      </c>
      <c r="B49" s="29">
        <f>Returns!B49*Assumptions!$B$2+Returns!C49*Assumptions!$B$3+Returns!D49*Assumptions!$B$4</f>
        <v>7.5546401887736985E-3</v>
      </c>
      <c r="C49" s="29">
        <f>Returns!B49*Assumptions!$C$2+Returns!C49*Assumptions!$C$3+Returns!D49*Assumptions!$C$4</f>
        <v>1.5972468913668512E-2</v>
      </c>
      <c r="D49" s="29">
        <f>Returns!B49*Assumptions!$D$2+Returns!C49*Assumptions!$D$3+Returns!D49*Assumptions!$D$4</f>
        <v>2.4390297638563332E-2</v>
      </c>
      <c r="E49" s="25"/>
      <c r="F49" s="28">
        <f t="shared" si="3"/>
        <v>43798</v>
      </c>
      <c r="G49" s="30">
        <f t="shared" si="4"/>
        <v>13086.641043012572</v>
      </c>
      <c r="H49" s="30">
        <f t="shared" si="5"/>
        <v>13953.974088990783</v>
      </c>
      <c r="I49" s="30">
        <f t="shared" si="6"/>
        <v>14833.28018128264</v>
      </c>
      <c r="J49" s="25"/>
      <c r="K49" s="30">
        <f>MAX(G$2:G49)</f>
        <v>13086.641043012572</v>
      </c>
      <c r="L49" s="30">
        <f>MAX(H$2:H49)</f>
        <v>13953.974088990783</v>
      </c>
      <c r="M49" s="30">
        <f>MAX(I$2:I49)</f>
        <v>14833.28018128264</v>
      </c>
      <c r="N49" s="25"/>
      <c r="O49" s="29">
        <f t="shared" si="0"/>
        <v>0</v>
      </c>
      <c r="P49" s="29">
        <f t="shared" si="1"/>
        <v>0</v>
      </c>
      <c r="Q49" s="29">
        <f t="shared" si="2"/>
        <v>0</v>
      </c>
    </row>
    <row r="50" spans="1:17" ht="15">
      <c r="A50" s="28">
        <f>Returns!A50</f>
        <v>43861</v>
      </c>
      <c r="B50" s="29">
        <f>Returns!B50*Assumptions!$B$2+Returns!C50*Assumptions!$B$3+Returns!D50*Assumptions!$B$4</f>
        <v>1.7612436566819656E-2</v>
      </c>
      <c r="C50" s="29">
        <f>Returns!B50*Assumptions!$C$2+Returns!C50*Assumptions!$C$3+Returns!D50*Assumptions!$C$4</f>
        <v>9.0895068603565332E-3</v>
      </c>
      <c r="D50" s="29">
        <f>Returns!B50*Assumptions!$D$2+Returns!C50*Assumptions!$D$3+Returns!D50*Assumptions!$D$4</f>
        <v>5.6657715389341057E-4</v>
      </c>
      <c r="E50" s="25"/>
      <c r="F50" s="28">
        <f t="shared" si="3"/>
        <v>43830</v>
      </c>
      <c r="G50" s="30">
        <f t="shared" si="4"/>
        <v>13185.50590737217</v>
      </c>
      <c r="H50" s="30">
        <f t="shared" si="5"/>
        <v>14176.853506349322</v>
      </c>
      <c r="I50" s="30">
        <f t="shared" si="6"/>
        <v>15195.068299860326</v>
      </c>
      <c r="J50" s="25"/>
      <c r="K50" s="30">
        <f>MAX(G$2:G50)</f>
        <v>13185.50590737217</v>
      </c>
      <c r="L50" s="30">
        <f>MAX(H$2:H50)</f>
        <v>14176.853506349322</v>
      </c>
      <c r="M50" s="30">
        <f>MAX(I$2:I50)</f>
        <v>15195.068299860326</v>
      </c>
      <c r="N50" s="25"/>
      <c r="O50" s="29">
        <f t="shared" si="0"/>
        <v>0</v>
      </c>
      <c r="P50" s="29">
        <f t="shared" si="1"/>
        <v>0</v>
      </c>
      <c r="Q50" s="29">
        <f t="shared" si="2"/>
        <v>0</v>
      </c>
    </row>
    <row r="51" spans="1:17" ht="15">
      <c r="A51" s="28">
        <f>Returns!A51</f>
        <v>43889</v>
      </c>
      <c r="B51" s="29">
        <f>Returns!B51*Assumptions!$B$2+Returns!C51*Assumptions!$B$3+Returns!D51*Assumptions!$B$4</f>
        <v>-1.4586496099404225E-2</v>
      </c>
      <c r="C51" s="29">
        <f>Returns!B51*Assumptions!$C$2+Returns!C51*Assumptions!$C$3+Returns!D51*Assumptions!$C$4</f>
        <v>-3.6688058858384012E-2</v>
      </c>
      <c r="D51" s="29">
        <f>Returns!B51*Assumptions!$D$2+Returns!C51*Assumptions!$D$3+Returns!D51*Assumptions!$D$4</f>
        <v>-5.8789621617363813E-2</v>
      </c>
      <c r="E51" s="25"/>
      <c r="F51" s="28">
        <f t="shared" si="3"/>
        <v>43861</v>
      </c>
      <c r="G51" s="30">
        <f t="shared" si="4"/>
        <v>13417.734793767189</v>
      </c>
      <c r="H51" s="30">
        <f t="shared" si="5"/>
        <v>14305.714113553553</v>
      </c>
      <c r="I51" s="30">
        <f t="shared" si="6"/>
        <v>15203.677478410877</v>
      </c>
      <c r="J51" s="25"/>
      <c r="K51" s="30">
        <f>MAX(G$2:G51)</f>
        <v>13417.734793767189</v>
      </c>
      <c r="L51" s="30">
        <f>MAX(H$2:H51)</f>
        <v>14305.714113553553</v>
      </c>
      <c r="M51" s="30">
        <f>MAX(I$2:I51)</f>
        <v>15203.677478410877</v>
      </c>
      <c r="N51" s="25"/>
      <c r="O51" s="29">
        <f t="shared" si="0"/>
        <v>0</v>
      </c>
      <c r="P51" s="29">
        <f t="shared" si="1"/>
        <v>0</v>
      </c>
      <c r="Q51" s="29">
        <f t="shared" si="2"/>
        <v>0</v>
      </c>
    </row>
    <row r="52" spans="1:17" ht="15">
      <c r="A52" s="28">
        <f>Returns!A52</f>
        <v>43921</v>
      </c>
      <c r="B52" s="29">
        <f>Returns!B52*Assumptions!$B$2+Returns!C52*Assumptions!$B$3+Returns!D52*Assumptions!$B$4</f>
        <v>-2.9712638320951248E-2</v>
      </c>
      <c r="C52" s="29">
        <f>Returns!B52*Assumptions!$C$2+Returns!C52*Assumptions!$C$3+Returns!D52*Assumptions!$C$4</f>
        <v>-6.3182632404827688E-2</v>
      </c>
      <c r="D52" s="29">
        <f>Returns!B52*Assumptions!$D$2+Returns!C52*Assumptions!$D$3+Returns!D52*Assumptions!$D$4</f>
        <v>-9.6652626488704152E-2</v>
      </c>
      <c r="E52" s="25"/>
      <c r="F52" s="28">
        <f t="shared" si="3"/>
        <v>43889</v>
      </c>
      <c r="G52" s="30">
        <f t="shared" si="4"/>
        <v>13222.017057535064</v>
      </c>
      <c r="H52" s="30">
        <f t="shared" si="5"/>
        <v>13780.865232144286</v>
      </c>
      <c r="I52" s="30">
        <f t="shared" si="6"/>
        <v>14309.859032262666</v>
      </c>
      <c r="J52" s="25"/>
      <c r="K52" s="30">
        <f>MAX(G$2:G52)</f>
        <v>13417.734793767189</v>
      </c>
      <c r="L52" s="30">
        <f>MAX(H$2:H52)</f>
        <v>14305.714113553553</v>
      </c>
      <c r="M52" s="30">
        <f>MAX(I$2:I52)</f>
        <v>15203.677478410877</v>
      </c>
      <c r="N52" s="25"/>
      <c r="O52" s="29">
        <f t="shared" si="0"/>
        <v>-1.4586496099404211E-2</v>
      </c>
      <c r="P52" s="29">
        <f t="shared" si="1"/>
        <v>-3.6688058858383998E-2</v>
      </c>
      <c r="Q52" s="29">
        <f t="shared" si="2"/>
        <v>-5.8789621617363785E-2</v>
      </c>
    </row>
    <row r="53" spans="1:17" ht="15">
      <c r="A53" s="28">
        <f>Returns!A53</f>
        <v>43951</v>
      </c>
      <c r="B53" s="29">
        <f>Returns!B53*Assumptions!$B$2+Returns!C53*Assumptions!$B$3+Returns!D53*Assumptions!$B$4</f>
        <v>4.6790357329401226E-2</v>
      </c>
      <c r="C53" s="29">
        <f>Returns!B53*Assumptions!$C$2+Returns!C53*Assumptions!$C$3+Returns!D53*Assumptions!$C$4</f>
        <v>6.8809306618158664E-2</v>
      </c>
      <c r="D53" s="29">
        <f>Returns!B53*Assumptions!$D$2+Returns!C53*Assumptions!$D$3+Returns!D53*Assumptions!$D$4</f>
        <v>9.0828255906916108E-2</v>
      </c>
      <c r="E53" s="25"/>
      <c r="F53" s="28">
        <f t="shared" si="3"/>
        <v>43921</v>
      </c>
      <c r="G53" s="30">
        <f t="shared" si="4"/>
        <v>12829.156046831076</v>
      </c>
      <c r="H53" s="30">
        <f t="shared" si="5"/>
        <v>12910.153889961242</v>
      </c>
      <c r="I53" s="30">
        <f t="shared" si="6"/>
        <v>12926.773572111373</v>
      </c>
      <c r="J53" s="25"/>
      <c r="K53" s="30">
        <f>MAX(G$2:G53)</f>
        <v>13417.734793767189</v>
      </c>
      <c r="L53" s="30">
        <f>MAX(H$2:H53)</f>
        <v>14305.714113553553</v>
      </c>
      <c r="M53" s="30">
        <f>MAX(I$2:I53)</f>
        <v>15203.677478410877</v>
      </c>
      <c r="N53" s="25"/>
      <c r="O53" s="29">
        <f t="shared" si="0"/>
        <v>-4.3865731137383901E-2</v>
      </c>
      <c r="P53" s="29">
        <f t="shared" si="1"/>
        <v>-9.7552643126715743E-2</v>
      </c>
      <c r="Q53" s="29">
        <f t="shared" si="2"/>
        <v>-0.14976007676647263</v>
      </c>
    </row>
    <row r="54" spans="1:17" ht="15">
      <c r="A54" s="28">
        <f>Returns!A54</f>
        <v>43980</v>
      </c>
      <c r="B54" s="29">
        <f>Returns!B54*Assumptions!$B$2+Returns!C54*Assumptions!$B$3+Returns!D54*Assumptions!$B$4</f>
        <v>2.1276322826306492E-2</v>
      </c>
      <c r="C54" s="29">
        <f>Returns!B54*Assumptions!$C$2+Returns!C54*Assumptions!$C$3+Returns!D54*Assumptions!$C$4</f>
        <v>3.0277291650587557E-2</v>
      </c>
      <c r="D54" s="29">
        <f>Returns!B54*Assumptions!$D$2+Returns!C54*Assumptions!$D$3+Returns!D54*Assumptions!$D$4</f>
        <v>3.9278260474868619E-2</v>
      </c>
      <c r="E54" s="25"/>
      <c r="F54" s="28">
        <f t="shared" si="3"/>
        <v>43951</v>
      </c>
      <c r="G54" s="30">
        <f t="shared" si="4"/>
        <v>13429.436842496953</v>
      </c>
      <c r="H54" s="30">
        <f t="shared" si="5"/>
        <v>13798.4926274632</v>
      </c>
      <c r="I54" s="30">
        <f t="shared" si="6"/>
        <v>14100.889870169864</v>
      </c>
      <c r="J54" s="25"/>
      <c r="K54" s="30">
        <f>MAX(G$2:G54)</f>
        <v>13429.436842496953</v>
      </c>
      <c r="L54" s="30">
        <f>MAX(H$2:H54)</f>
        <v>14305.714113553553</v>
      </c>
      <c r="M54" s="30">
        <f>MAX(I$2:I54)</f>
        <v>15203.677478410877</v>
      </c>
      <c r="N54" s="25"/>
      <c r="O54" s="29">
        <f t="shared" si="0"/>
        <v>0</v>
      </c>
      <c r="P54" s="29">
        <f t="shared" si="1"/>
        <v>-3.5455866240875045E-2</v>
      </c>
      <c r="Q54" s="29">
        <f t="shared" si="2"/>
        <v>-7.2534267436741184E-2</v>
      </c>
    </row>
    <row r="55" spans="1:17" ht="15">
      <c r="A55" s="28">
        <f>Returns!A55</f>
        <v>44012</v>
      </c>
      <c r="B55" s="29">
        <f>Returns!B55*Assumptions!$B$2+Returns!C55*Assumptions!$B$3+Returns!D55*Assumptions!$B$4</f>
        <v>1.0231539994100114E-2</v>
      </c>
      <c r="C55" s="29">
        <f>Returns!B55*Assumptions!$C$2+Returns!C55*Assumptions!$C$3+Returns!D55*Assumptions!$C$4</f>
        <v>1.5134000469784281E-2</v>
      </c>
      <c r="D55" s="29">
        <f>Returns!B55*Assumptions!$D$2+Returns!C55*Assumptions!$D$3+Returns!D55*Assumptions!$D$4</f>
        <v>2.0036460945468449E-2</v>
      </c>
      <c r="E55" s="25"/>
      <c r="F55" s="28">
        <f t="shared" si="3"/>
        <v>43980</v>
      </c>
      <c r="G55" s="30">
        <f t="shared" si="4"/>
        <v>13715.165876133411</v>
      </c>
      <c r="H55" s="30">
        <f t="shared" si="5"/>
        <v>14216.273613083385</v>
      </c>
      <c r="I55" s="30">
        <f t="shared" si="6"/>
        <v>14654.748295417832</v>
      </c>
      <c r="J55" s="25"/>
      <c r="K55" s="30">
        <f>MAX(G$2:G55)</f>
        <v>13715.165876133411</v>
      </c>
      <c r="L55" s="30">
        <f>MAX(H$2:H55)</f>
        <v>14305.714113553553</v>
      </c>
      <c r="M55" s="30">
        <f>MAX(I$2:I55)</f>
        <v>15203.677478410877</v>
      </c>
      <c r="N55" s="25"/>
      <c r="O55" s="29">
        <f t="shared" si="0"/>
        <v>0</v>
      </c>
      <c r="P55" s="29">
        <f t="shared" si="1"/>
        <v>-6.2520821931866255E-3</v>
      </c>
      <c r="Q55" s="29">
        <f t="shared" si="2"/>
        <v>-3.6105026811606655E-2</v>
      </c>
    </row>
    <row r="56" spans="1:17" ht="15">
      <c r="A56" s="28">
        <f>Returns!A56</f>
        <v>44043</v>
      </c>
      <c r="B56" s="29">
        <f>Returns!B56*Assumptions!$B$2+Returns!C56*Assumptions!$B$3+Returns!D56*Assumptions!$B$4</f>
        <v>2.690620729141131E-2</v>
      </c>
      <c r="C56" s="29">
        <f>Returns!B56*Assumptions!$C$2+Returns!C56*Assumptions!$C$3+Returns!D56*Assumptions!$C$4</f>
        <v>3.6088604632000025E-2</v>
      </c>
      <c r="D56" s="29">
        <f>Returns!B56*Assumptions!$D$2+Returns!C56*Assumptions!$D$3+Returns!D56*Assumptions!$D$4</f>
        <v>4.527100197258873E-2</v>
      </c>
      <c r="E56" s="25"/>
      <c r="F56" s="28">
        <f t="shared" si="3"/>
        <v>44012</v>
      </c>
      <c r="G56" s="30">
        <f t="shared" si="4"/>
        <v>13855.493144320788</v>
      </c>
      <c r="H56" s="30">
        <f t="shared" si="5"/>
        <v>14431.42270462237</v>
      </c>
      <c r="I56" s="30">
        <f t="shared" si="6"/>
        <v>14948.377587304642</v>
      </c>
      <c r="J56" s="25"/>
      <c r="K56" s="30">
        <f>MAX(G$2:G56)</f>
        <v>13855.493144320788</v>
      </c>
      <c r="L56" s="30">
        <f>MAX(H$2:H56)</f>
        <v>14431.42270462237</v>
      </c>
      <c r="M56" s="30">
        <f>MAX(I$2:I56)</f>
        <v>15203.677478410877</v>
      </c>
      <c r="N56" s="25"/>
      <c r="O56" s="29">
        <f t="shared" si="0"/>
        <v>0</v>
      </c>
      <c r="P56" s="29">
        <f t="shared" si="1"/>
        <v>0</v>
      </c>
      <c r="Q56" s="29">
        <f t="shared" si="2"/>
        <v>-1.6791982825784091E-2</v>
      </c>
    </row>
    <row r="57" spans="1:17" ht="15">
      <c r="A57" s="28">
        <f>Returns!A57</f>
        <v>44074</v>
      </c>
      <c r="B57" s="29">
        <f>Returns!B57*Assumptions!$B$2+Returns!C57*Assumptions!$B$3+Returns!D57*Assumptions!$B$4</f>
        <v>1.9671326005752676E-2</v>
      </c>
      <c r="C57" s="29">
        <f>Returns!B57*Assumptions!$C$2+Returns!C57*Assumptions!$C$3+Returns!D57*Assumptions!$C$4</f>
        <v>3.4356047609848492E-2</v>
      </c>
      <c r="D57" s="29">
        <f>Returns!B57*Assumptions!$D$2+Returns!C57*Assumptions!$D$3+Returns!D57*Assumptions!$D$4</f>
        <v>4.9040769213944312E-2</v>
      </c>
      <c r="E57" s="25"/>
      <c r="F57" s="28">
        <f t="shared" si="3"/>
        <v>44043</v>
      </c>
      <c r="G57" s="30">
        <f t="shared" si="4"/>
        <v>14228.29191498661</v>
      </c>
      <c r="H57" s="30">
        <f t="shared" si="5"/>
        <v>14952.232612886753</v>
      </c>
      <c r="I57" s="30">
        <f t="shared" si="6"/>
        <v>15625.105618546513</v>
      </c>
      <c r="J57" s="25"/>
      <c r="K57" s="30">
        <f>MAX(G$2:G57)</f>
        <v>14228.29191498661</v>
      </c>
      <c r="L57" s="30">
        <f>MAX(H$2:H57)</f>
        <v>14952.232612886753</v>
      </c>
      <c r="M57" s="30">
        <f>MAX(I$2:I57)</f>
        <v>15625.105618546513</v>
      </c>
      <c r="N57" s="25"/>
      <c r="O57" s="29">
        <f t="shared" si="0"/>
        <v>0</v>
      </c>
      <c r="P57" s="29">
        <f t="shared" si="1"/>
        <v>0</v>
      </c>
      <c r="Q57" s="29">
        <f t="shared" si="2"/>
        <v>0</v>
      </c>
    </row>
    <row r="58" spans="1:17" ht="15">
      <c r="A58" s="28">
        <f>Returns!A58</f>
        <v>44104</v>
      </c>
      <c r="B58" s="29">
        <f>Returns!B58*Assumptions!$B$2+Returns!C58*Assumptions!$B$3+Returns!D58*Assumptions!$B$4</f>
        <v>-1.1043461559517631E-2</v>
      </c>
      <c r="C58" s="29">
        <f>Returns!B58*Assumptions!$C$2+Returns!C58*Assumptions!$C$3+Returns!D58*Assumptions!$C$4</f>
        <v>-1.8203986837675882E-2</v>
      </c>
      <c r="D58" s="29">
        <f>Returns!B58*Assumptions!$D$2+Returns!C58*Assumptions!$D$3+Returns!D58*Assumptions!$D$4</f>
        <v>-2.5364512115834126E-2</v>
      </c>
      <c r="E58" s="25"/>
      <c r="F58" s="28">
        <f t="shared" si="3"/>
        <v>44074</v>
      </c>
      <c r="G58" s="30">
        <f t="shared" si="4"/>
        <v>14508.181283751326</v>
      </c>
      <c r="H58" s="30">
        <f t="shared" si="5"/>
        <v>15465.932228408621</v>
      </c>
      <c r="I58" s="30">
        <f t="shared" si="6"/>
        <v>16391.372817129159</v>
      </c>
      <c r="J58" s="25"/>
      <c r="K58" s="30">
        <f>MAX(G$2:G58)</f>
        <v>14508.181283751326</v>
      </c>
      <c r="L58" s="30">
        <f>MAX(H$2:H58)</f>
        <v>15465.932228408621</v>
      </c>
      <c r="M58" s="30">
        <f>MAX(I$2:I58)</f>
        <v>16391.372817129159</v>
      </c>
      <c r="N58" s="25"/>
      <c r="O58" s="29">
        <f t="shared" si="0"/>
        <v>0</v>
      </c>
      <c r="P58" s="29">
        <f t="shared" si="1"/>
        <v>0</v>
      </c>
      <c r="Q58" s="29">
        <f t="shared" si="2"/>
        <v>0</v>
      </c>
    </row>
    <row r="59" spans="1:17" ht="15">
      <c r="A59" s="28">
        <f>Returns!A59</f>
        <v>44134</v>
      </c>
      <c r="B59" s="29">
        <f>Returns!B59*Assumptions!$B$2+Returns!C59*Assumptions!$B$3+Returns!D59*Assumptions!$B$4</f>
        <v>-1.7944478190640989E-2</v>
      </c>
      <c r="C59" s="29">
        <f>Returns!B59*Assumptions!$C$2+Returns!C59*Assumptions!$C$3+Returns!D59*Assumptions!$C$4</f>
        <v>-2.0012792008944263E-2</v>
      </c>
      <c r="D59" s="29">
        <f>Returns!B59*Assumptions!$D$2+Returns!C59*Assumptions!$D$3+Returns!D59*Assumptions!$D$4</f>
        <v>-2.2081105827247538E-2</v>
      </c>
      <c r="E59" s="25"/>
      <c r="F59" s="28">
        <f t="shared" si="3"/>
        <v>44104</v>
      </c>
      <c r="G59" s="30">
        <f t="shared" si="4"/>
        <v>14347.960741445706</v>
      </c>
      <c r="H59" s="30">
        <f t="shared" si="5"/>
        <v>15184.390601690284</v>
      </c>
      <c r="I59" s="30">
        <f t="shared" si="6"/>
        <v>15975.613642713932</v>
      </c>
      <c r="J59" s="25"/>
      <c r="K59" s="30">
        <f>MAX(G$2:G59)</f>
        <v>14508.181283751326</v>
      </c>
      <c r="L59" s="30">
        <f>MAX(H$2:H59)</f>
        <v>15465.932228408621</v>
      </c>
      <c r="M59" s="30">
        <f>MAX(I$2:I59)</f>
        <v>16391.372817129159</v>
      </c>
      <c r="N59" s="25"/>
      <c r="O59" s="29">
        <f t="shared" si="0"/>
        <v>-1.1043461559517631E-2</v>
      </c>
      <c r="P59" s="29">
        <f t="shared" si="1"/>
        <v>-1.8203986837675878E-2</v>
      </c>
      <c r="Q59" s="29">
        <f t="shared" si="2"/>
        <v>-2.5364512115834126E-2</v>
      </c>
    </row>
    <row r="60" spans="1:17" ht="15">
      <c r="A60" s="28">
        <f>Returns!A60</f>
        <v>44165</v>
      </c>
      <c r="B60" s="29">
        <f>Returns!B60*Assumptions!$B$2+Returns!C60*Assumptions!$B$3+Returns!D60*Assumptions!$B$4</f>
        <v>4.7172536410944141E-2</v>
      </c>
      <c r="C60" s="29">
        <f>Returns!B60*Assumptions!$C$2+Returns!C60*Assumptions!$C$3+Returns!D60*Assumptions!$C$4</f>
        <v>6.9066837981662868E-2</v>
      </c>
      <c r="D60" s="29">
        <f>Returns!B60*Assumptions!$D$2+Returns!C60*Assumptions!$D$3+Returns!D60*Assumptions!$D$4</f>
        <v>9.0961139552381581E-2</v>
      </c>
      <c r="E60" s="25"/>
      <c r="F60" s="28">
        <f t="shared" si="3"/>
        <v>44134</v>
      </c>
      <c r="G60" s="30">
        <f t="shared" si="4"/>
        <v>14090.49407284066</v>
      </c>
      <c r="H60" s="30">
        <f t="shared" si="5"/>
        <v>14880.508550796088</v>
      </c>
      <c r="I60" s="30">
        <f t="shared" si="6"/>
        <v>15622.854427213946</v>
      </c>
      <c r="J60" s="25"/>
      <c r="K60" s="30">
        <f>MAX(G$2:G60)</f>
        <v>14508.181283751326</v>
      </c>
      <c r="L60" s="30">
        <f>MAX(H$2:H60)</f>
        <v>15465.932228408621</v>
      </c>
      <c r="M60" s="30">
        <f>MAX(I$2:I60)</f>
        <v>16391.372817129159</v>
      </c>
      <c r="N60" s="25"/>
      <c r="O60" s="29">
        <f t="shared" si="0"/>
        <v>-2.8789770595054609E-2</v>
      </c>
      <c r="P60" s="29">
        <f t="shared" si="1"/>
        <v>-3.7852466244304162E-2</v>
      </c>
      <c r="Q60" s="29">
        <f t="shared" si="2"/>
        <v>-4.6885541466795466E-2</v>
      </c>
    </row>
    <row r="61" spans="1:17" ht="15">
      <c r="A61" s="28">
        <f>Returns!A61</f>
        <v>44196</v>
      </c>
      <c r="B61" s="29">
        <f>Returns!B61*Assumptions!$B$2+Returns!C61*Assumptions!$B$3+Returns!D61*Assumptions!$B$4</f>
        <v>1.5668292553560705E-2</v>
      </c>
      <c r="C61" s="29">
        <f>Returns!B61*Assumptions!$C$2+Returns!C61*Assumptions!$C$3+Returns!D61*Assumptions!$C$4</f>
        <v>2.4694732813113594E-2</v>
      </c>
      <c r="D61" s="29">
        <f>Returns!B61*Assumptions!$D$2+Returns!C61*Assumptions!$D$3+Returns!D61*Assumptions!$D$4</f>
        <v>3.3721173072666491E-2</v>
      </c>
      <c r="E61" s="25"/>
      <c r="F61" s="28">
        <f t="shared" si="3"/>
        <v>44165</v>
      </c>
      <c r="G61" s="30">
        <f t="shared" si="4"/>
        <v>14755.178417539928</v>
      </c>
      <c r="H61" s="30">
        <f t="shared" si="5"/>
        <v>15908.25822395867</v>
      </c>
      <c r="I61" s="30">
        <f t="shared" si="6"/>
        <v>17043.927068974295</v>
      </c>
      <c r="J61" s="25"/>
      <c r="K61" s="30">
        <f>MAX(G$2:G61)</f>
        <v>14755.178417539928</v>
      </c>
      <c r="L61" s="30">
        <f>MAX(H$2:H61)</f>
        <v>15908.25822395867</v>
      </c>
      <c r="M61" s="30">
        <f>MAX(I$2:I61)</f>
        <v>17043.927068974295</v>
      </c>
      <c r="N61" s="25"/>
      <c r="O61" s="29">
        <f t="shared" si="0"/>
        <v>0</v>
      </c>
      <c r="P61" s="29">
        <f t="shared" si="1"/>
        <v>0</v>
      </c>
      <c r="Q61" s="29">
        <f t="shared" si="2"/>
        <v>0</v>
      </c>
    </row>
    <row r="62" spans="1:17" ht="15">
      <c r="A62" s="28">
        <f>Returns!A62</f>
        <v>44225</v>
      </c>
      <c r="B62" s="29">
        <f>Returns!B62*Assumptions!$B$2+Returns!C62*Assumptions!$B$3+Returns!D62*Assumptions!$B$4</f>
        <v>-9.4672152326834118E-3</v>
      </c>
      <c r="C62" s="29">
        <f>Returns!B62*Assumptions!$C$2+Returns!C62*Assumptions!$C$3+Returns!D62*Assumptions!$C$4</f>
        <v>-8.7399820634936794E-3</v>
      </c>
      <c r="D62" s="29">
        <f>Returns!B62*Assumptions!$D$2+Returns!C62*Assumptions!$D$3+Returns!D62*Assumptions!$D$4</f>
        <v>-8.0127488943039452E-3</v>
      </c>
      <c r="E62" s="25"/>
      <c r="F62" s="28">
        <f t="shared" si="3"/>
        <v>44196</v>
      </c>
      <c r="G62" s="30">
        <f t="shared" si="4"/>
        <v>14986.366869665928</v>
      </c>
      <c r="H62" s="30">
        <f t="shared" si="5"/>
        <v>16301.108410321345</v>
      </c>
      <c r="I62" s="30">
        <f t="shared" si="6"/>
        <v>17618.668283505085</v>
      </c>
      <c r="J62" s="25"/>
      <c r="K62" s="30">
        <f>MAX(G$2:G62)</f>
        <v>14986.366869665928</v>
      </c>
      <c r="L62" s="30">
        <f>MAX(H$2:H62)</f>
        <v>16301.108410321345</v>
      </c>
      <c r="M62" s="30">
        <f>MAX(I$2:I62)</f>
        <v>17618.668283505085</v>
      </c>
      <c r="N62" s="25"/>
      <c r="O62" s="29">
        <f t="shared" si="0"/>
        <v>0</v>
      </c>
      <c r="P62" s="29">
        <f t="shared" si="1"/>
        <v>0</v>
      </c>
      <c r="Q62" s="29">
        <f t="shared" si="2"/>
        <v>0</v>
      </c>
    </row>
    <row r="63" spans="1:17" ht="15">
      <c r="A63" s="28">
        <f>Returns!A63</f>
        <v>44253</v>
      </c>
      <c r="B63" s="29">
        <f>Returns!B63*Assumptions!$B$2+Returns!C63*Assumptions!$B$3+Returns!D63*Assumptions!$B$4</f>
        <v>-3.5113161597046579E-3</v>
      </c>
      <c r="C63" s="29">
        <f>Returns!B63*Assumptions!$C$2+Returns!C63*Assumptions!$C$3+Returns!D63*Assumptions!$C$4</f>
        <v>6.5496698401319772E-3</v>
      </c>
      <c r="D63" s="29">
        <f>Returns!B63*Assumptions!$D$2+Returns!C63*Assumptions!$D$3+Returns!D63*Assumptions!$D$4</f>
        <v>1.6610655839968614E-2</v>
      </c>
      <c r="E63" s="25"/>
      <c r="F63" s="28">
        <f t="shared" si="3"/>
        <v>44225</v>
      </c>
      <c r="G63" s="30">
        <f t="shared" si="4"/>
        <v>14844.487708954844</v>
      </c>
      <c r="H63" s="30">
        <f t="shared" si="5"/>
        <v>16158.637015200071</v>
      </c>
      <c r="I63" s="30">
        <f t="shared" si="6"/>
        <v>17477.494318697321</v>
      </c>
      <c r="J63" s="25"/>
      <c r="K63" s="30">
        <f>MAX(G$2:G63)</f>
        <v>14986.366869665928</v>
      </c>
      <c r="L63" s="30">
        <f>MAX(H$2:H63)</f>
        <v>16301.108410321345</v>
      </c>
      <c r="M63" s="30">
        <f>MAX(I$2:I63)</f>
        <v>17618.668283505085</v>
      </c>
      <c r="N63" s="25"/>
      <c r="O63" s="29">
        <f t="shared" si="0"/>
        <v>-9.4672152326834569E-3</v>
      </c>
      <c r="P63" s="29">
        <f t="shared" si="1"/>
        <v>-8.7399820634936898E-3</v>
      </c>
      <c r="Q63" s="29">
        <f t="shared" si="2"/>
        <v>-8.0127488943039227E-3</v>
      </c>
    </row>
    <row r="64" spans="1:17" ht="15">
      <c r="A64" s="28">
        <f>Returns!A64</f>
        <v>44286</v>
      </c>
      <c r="B64" s="29">
        <f>Returns!B64*Assumptions!$B$2+Returns!C64*Assumptions!$B$3+Returns!D64*Assumptions!$B$4</f>
        <v>1.3256184785114256E-3</v>
      </c>
      <c r="C64" s="29">
        <f>Returns!B64*Assumptions!$C$2+Returns!C64*Assumptions!$C$3+Returns!D64*Assumptions!$C$4</f>
        <v>1.3916672519180717E-2</v>
      </c>
      <c r="D64" s="29">
        <f>Returns!B64*Assumptions!$D$2+Returns!C64*Assumptions!$D$3+Returns!D64*Assumptions!$D$4</f>
        <v>2.6507726559850009E-2</v>
      </c>
      <c r="E64" s="25"/>
      <c r="F64" s="28">
        <f t="shared" si="3"/>
        <v>44253</v>
      </c>
      <c r="G64" s="30">
        <f t="shared" si="4"/>
        <v>14792.364019379855</v>
      </c>
      <c r="H64" s="30">
        <f t="shared" si="5"/>
        <v>16264.470752716166</v>
      </c>
      <c r="I64" s="30">
        <f t="shared" si="6"/>
        <v>17767.806961770209</v>
      </c>
      <c r="J64" s="25"/>
      <c r="K64" s="30">
        <f>MAX(G$2:G64)</f>
        <v>14986.366869665928</v>
      </c>
      <c r="L64" s="30">
        <f>MAX(H$2:H64)</f>
        <v>16301.108410321345</v>
      </c>
      <c r="M64" s="30">
        <f>MAX(I$2:I64)</f>
        <v>17767.806961770209</v>
      </c>
      <c r="N64" s="25"/>
      <c r="O64" s="29">
        <f t="shared" si="0"/>
        <v>-1.2945289006554117E-2</v>
      </c>
      <c r="P64" s="29">
        <f t="shared" si="1"/>
        <v>-2.2475562202862731E-3</v>
      </c>
      <c r="Q64" s="29">
        <f t="shared" si="2"/>
        <v>0</v>
      </c>
    </row>
    <row r="65" spans="1:17" ht="15">
      <c r="A65" s="28">
        <f>Returns!A65</f>
        <v>44316</v>
      </c>
      <c r="B65" s="29">
        <f>Returns!B65*Assumptions!$B$2+Returns!C65*Assumptions!$B$3+Returns!D65*Assumptions!$B$4</f>
        <v>2.4720417599425622E-2</v>
      </c>
      <c r="C65" s="29">
        <f>Returns!B65*Assumptions!$C$2+Returns!C65*Assumptions!$C$3+Returns!D65*Assumptions!$C$4</f>
        <v>3.2074530783752213E-2</v>
      </c>
      <c r="D65" s="29">
        <f>Returns!B65*Assumptions!$D$2+Returns!C65*Assumptions!$D$3+Returns!D65*Assumptions!$D$4</f>
        <v>3.942864396807879E-2</v>
      </c>
      <c r="E65" s="25"/>
      <c r="F65" s="28">
        <f t="shared" si="3"/>
        <v>44286</v>
      </c>
      <c r="G65" s="30">
        <f t="shared" si="4"/>
        <v>14811.973050464814</v>
      </c>
      <c r="H65" s="30">
        <f t="shared" si="5"/>
        <v>16490.81806587951</v>
      </c>
      <c r="I65" s="30">
        <f t="shared" si="6"/>
        <v>18238.791130281017</v>
      </c>
      <c r="J65" s="25"/>
      <c r="K65" s="30">
        <f>MAX(G$2:G65)</f>
        <v>14986.366869665928</v>
      </c>
      <c r="L65" s="30">
        <f>MAX(H$2:H65)</f>
        <v>16490.81806587951</v>
      </c>
      <c r="M65" s="30">
        <f>MAX(I$2:I65)</f>
        <v>18238.791130281017</v>
      </c>
      <c r="N65" s="25"/>
      <c r="O65" s="29">
        <f t="shared" si="0"/>
        <v>-1.1636831042359352E-2</v>
      </c>
      <c r="P65" s="29">
        <f t="shared" si="1"/>
        <v>0</v>
      </c>
      <c r="Q65" s="29">
        <f t="shared" si="2"/>
        <v>0</v>
      </c>
    </row>
    <row r="66" spans="1:17" ht="15">
      <c r="A66" s="28">
        <f>Returns!A66</f>
        <v>44344</v>
      </c>
      <c r="B66" s="29">
        <f>Returns!B66*Assumptions!$B$2+Returns!C66*Assumptions!$B$3+Returns!D66*Assumptions!$B$4</f>
        <v>7.4939899218036564E-3</v>
      </c>
      <c r="C66" s="29">
        <f>Returns!B66*Assumptions!$C$2+Returns!C66*Assumptions!$C$3+Returns!D66*Assumptions!$C$4</f>
        <v>9.1168002645689132E-3</v>
      </c>
      <c r="D66" s="29">
        <f>Returns!B66*Assumptions!$D$2+Returns!C66*Assumptions!$D$3+Returns!D66*Assumptions!$D$4</f>
        <v>1.0739610607334171E-2</v>
      </c>
      <c r="E66" s="25"/>
      <c r="F66" s="28">
        <f t="shared" si="3"/>
        <v>44316</v>
      </c>
      <c r="G66" s="30">
        <f t="shared" si="4"/>
        <v>15178.131209743742</v>
      </c>
      <c r="H66" s="30">
        <f t="shared" si="5"/>
        <v>17019.753317582821</v>
      </c>
      <c r="I66" s="30">
        <f t="shared" si="6"/>
        <v>18957.921932165023</v>
      </c>
      <c r="J66" s="25"/>
      <c r="K66" s="30">
        <f>MAX(G$2:G66)</f>
        <v>15178.131209743742</v>
      </c>
      <c r="L66" s="30">
        <f>MAX(H$2:H66)</f>
        <v>17019.753317582821</v>
      </c>
      <c r="M66" s="30">
        <f>MAX(I$2:I66)</f>
        <v>18957.921932165023</v>
      </c>
      <c r="N66" s="25"/>
      <c r="O66" s="29">
        <f t="shared" si="0"/>
        <v>0</v>
      </c>
      <c r="P66" s="29">
        <f t="shared" si="1"/>
        <v>0</v>
      </c>
      <c r="Q66" s="29">
        <f t="shared" si="2"/>
        <v>0</v>
      </c>
    </row>
    <row r="67" spans="1:17" ht="15">
      <c r="A67" s="28">
        <f>Returns!A67</f>
        <v>44377</v>
      </c>
      <c r="B67" s="29">
        <f>Returns!B67*Assumptions!$B$2+Returns!C67*Assumptions!$B$3+Returns!D67*Assumptions!$B$4</f>
        <v>1.2545967056203033E-2</v>
      </c>
      <c r="C67" s="29">
        <f>Returns!B67*Assumptions!$C$2+Returns!C67*Assumptions!$C$3+Returns!D67*Assumptions!$C$4</f>
        <v>1.370591343008648E-2</v>
      </c>
      <c r="D67" s="29">
        <f>Returns!B67*Assumptions!$D$2+Returns!C67*Assumptions!$D$3+Returns!D67*Assumptions!$D$4</f>
        <v>1.4865859803969927E-2</v>
      </c>
      <c r="E67" s="25"/>
      <c r="F67" s="28">
        <f t="shared" si="3"/>
        <v>44344</v>
      </c>
      <c r="G67" s="30">
        <f t="shared" si="4"/>
        <v>15291.875972061374</v>
      </c>
      <c r="H67" s="30">
        <f t="shared" si="5"/>
        <v>17174.919009131459</v>
      </c>
      <c r="I67" s="30">
        <f t="shared" si="6"/>
        <v>19161.522631640713</v>
      </c>
      <c r="J67" s="25"/>
      <c r="K67" s="30">
        <f>MAX(G$2:G67)</f>
        <v>15291.875972061374</v>
      </c>
      <c r="L67" s="30">
        <f>MAX(H$2:H67)</f>
        <v>17174.919009131459</v>
      </c>
      <c r="M67" s="30">
        <f>MAX(I$2:I67)</f>
        <v>19161.522631640713</v>
      </c>
      <c r="N67" s="25"/>
      <c r="O67" s="29">
        <f t="shared" ref="O67:O122" si="7">G67/K67-1</f>
        <v>0</v>
      </c>
      <c r="P67" s="29">
        <f t="shared" ref="P67:P122" si="8">H67/L67-1</f>
        <v>0</v>
      </c>
      <c r="Q67" s="29">
        <f t="shared" ref="Q67:Q122" si="9">I67/M67-1</f>
        <v>0</v>
      </c>
    </row>
    <row r="68" spans="1:17" ht="15">
      <c r="A68" s="28">
        <f>Returns!A68</f>
        <v>44407</v>
      </c>
      <c r="B68" s="29">
        <f>Returns!B68*Assumptions!$B$2+Returns!C68*Assumptions!$B$3+Returns!D68*Assumptions!$B$4</f>
        <v>1.8080833671027606E-2</v>
      </c>
      <c r="C68" s="29">
        <f>Returns!B68*Assumptions!$C$2+Returns!C68*Assumptions!$C$3+Returns!D68*Assumptions!$C$4</f>
        <v>1.7170298599404395E-2</v>
      </c>
      <c r="D68" s="29">
        <f>Returns!B68*Assumptions!$D$2+Returns!C68*Assumptions!$D$3+Returns!D68*Assumptions!$D$4</f>
        <v>1.6259763527781176E-2</v>
      </c>
      <c r="E68" s="25"/>
      <c r="F68" s="28">
        <f t="shared" ref="F68:F122" si="10">A67</f>
        <v>44377</v>
      </c>
      <c r="G68" s="30">
        <f t="shared" ref="G68:G122" si="11">G67*(1+B67)</f>
        <v>15483.727344234398</v>
      </c>
      <c r="H68" s="30">
        <f t="shared" ref="H68:H122" si="12">H67*(1+C67)</f>
        <v>17410.316962239362</v>
      </c>
      <c r="I68" s="30">
        <f t="shared" ref="I68:I122" si="13">I67*(1+D67)</f>
        <v>19446.37514071328</v>
      </c>
      <c r="J68" s="25"/>
      <c r="K68" s="30">
        <f>MAX(G$2:G68)</f>
        <v>15483.727344234398</v>
      </c>
      <c r="L68" s="30">
        <f>MAX(H$2:H68)</f>
        <v>17410.316962239362</v>
      </c>
      <c r="M68" s="30">
        <f>MAX(I$2:I68)</f>
        <v>19446.37514071328</v>
      </c>
      <c r="N68" s="25"/>
      <c r="O68" s="29">
        <f t="shared" si="7"/>
        <v>0</v>
      </c>
      <c r="P68" s="29">
        <f t="shared" si="8"/>
        <v>0</v>
      </c>
      <c r="Q68" s="29">
        <f t="shared" si="9"/>
        <v>0</v>
      </c>
    </row>
    <row r="69" spans="1:17" ht="15">
      <c r="A69" s="28">
        <f>Returns!A69</f>
        <v>44439</v>
      </c>
      <c r="B69" s="29">
        <f>Returns!B69*Assumptions!$B$2+Returns!C69*Assumptions!$B$3+Returns!D69*Assumptions!$B$4</f>
        <v>8.2327163846064536E-3</v>
      </c>
      <c r="C69" s="29">
        <f>Returns!B69*Assumptions!$C$2+Returns!C69*Assumptions!$C$3+Returns!D69*Assumptions!$C$4</f>
        <v>1.4321015108898973E-2</v>
      </c>
      <c r="D69" s="29">
        <f>Returns!B69*Assumptions!$D$2+Returns!C69*Assumptions!$D$3+Returns!D69*Assumptions!$D$4</f>
        <v>2.040931383319149E-2</v>
      </c>
      <c r="E69" s="25"/>
      <c r="F69" s="28">
        <f t="shared" si="10"/>
        <v>44407</v>
      </c>
      <c r="G69" s="30">
        <f t="shared" si="11"/>
        <v>15763.686042953042</v>
      </c>
      <c r="H69" s="30">
        <f t="shared" si="12"/>
        <v>17709.257303191287</v>
      </c>
      <c r="I69" s="30">
        <f t="shared" si="13"/>
        <v>19762.568601973802</v>
      </c>
      <c r="J69" s="25"/>
      <c r="K69" s="30">
        <f>MAX(G$2:G69)</f>
        <v>15763.686042953042</v>
      </c>
      <c r="L69" s="30">
        <f>MAX(H$2:H69)</f>
        <v>17709.257303191287</v>
      </c>
      <c r="M69" s="30">
        <f>MAX(I$2:I69)</f>
        <v>19762.568601973802</v>
      </c>
      <c r="N69" s="25"/>
      <c r="O69" s="29">
        <f t="shared" si="7"/>
        <v>0</v>
      </c>
      <c r="P69" s="29">
        <f t="shared" si="8"/>
        <v>0</v>
      </c>
      <c r="Q69" s="29">
        <f t="shared" si="9"/>
        <v>0</v>
      </c>
    </row>
    <row r="70" spans="1:17" ht="15">
      <c r="A70" s="28">
        <f>Returns!A70</f>
        <v>44469</v>
      </c>
      <c r="B70" s="29">
        <f>Returns!B70*Assumptions!$B$2+Returns!C70*Assumptions!$B$3+Returns!D70*Assumptions!$B$4</f>
        <v>-2.7100713429405232E-2</v>
      </c>
      <c r="C70" s="29">
        <f>Returns!B70*Assumptions!$C$2+Returns!C70*Assumptions!$C$3+Returns!D70*Assumptions!$C$4</f>
        <v>-3.2665653702763087E-2</v>
      </c>
      <c r="D70" s="29">
        <f>Returns!B70*Assumptions!$D$2+Returns!C70*Assumptions!$D$3+Returns!D70*Assumptions!$D$4</f>
        <v>-3.8230593976120941E-2</v>
      </c>
      <c r="E70" s="25"/>
      <c r="F70" s="28">
        <f t="shared" si="10"/>
        <v>44439</v>
      </c>
      <c r="G70" s="30">
        <f t="shared" si="11"/>
        <v>15893.463999320655</v>
      </c>
      <c r="H70" s="30">
        <f t="shared" si="12"/>
        <v>17962.87184459767</v>
      </c>
      <c r="I70" s="30">
        <f t="shared" si="13"/>
        <v>20165.909066721462</v>
      </c>
      <c r="J70" s="25"/>
      <c r="K70" s="30">
        <f>MAX(G$2:G70)</f>
        <v>15893.463999320655</v>
      </c>
      <c r="L70" s="30">
        <f>MAX(H$2:H70)</f>
        <v>17962.87184459767</v>
      </c>
      <c r="M70" s="30">
        <f>MAX(I$2:I70)</f>
        <v>20165.909066721462</v>
      </c>
      <c r="N70" s="25"/>
      <c r="O70" s="29">
        <f t="shared" si="7"/>
        <v>0</v>
      </c>
      <c r="P70" s="29">
        <f t="shared" si="8"/>
        <v>0</v>
      </c>
      <c r="Q70" s="29">
        <f t="shared" si="9"/>
        <v>0</v>
      </c>
    </row>
    <row r="71" spans="1:17" ht="15">
      <c r="A71" s="28">
        <f>Returns!A71</f>
        <v>44498</v>
      </c>
      <c r="B71" s="29">
        <f>Returns!B71*Assumptions!$B$2+Returns!C71*Assumptions!$B$3+Returns!D71*Assumptions!$B$4</f>
        <v>2.1266587633556468E-2</v>
      </c>
      <c r="C71" s="29">
        <f>Returns!B71*Assumptions!$C$2+Returns!C71*Assumptions!$C$3+Returns!D71*Assumptions!$C$4</f>
        <v>3.4114602862676119E-2</v>
      </c>
      <c r="D71" s="29">
        <f>Returns!B71*Assumptions!$D$2+Returns!C71*Assumptions!$D$3+Returns!D71*Assumptions!$D$4</f>
        <v>4.6962618091795763E-2</v>
      </c>
      <c r="E71" s="25"/>
      <c r="F71" s="28">
        <f t="shared" si="10"/>
        <v>44469</v>
      </c>
      <c r="G71" s="30">
        <f t="shared" si="11"/>
        <v>15462.739786074497</v>
      </c>
      <c r="H71" s="30">
        <f t="shared" si="12"/>
        <v>17376.102893414929</v>
      </c>
      <c r="I71" s="30">
        <f t="shared" si="13"/>
        <v>19394.954385032259</v>
      </c>
      <c r="J71" s="25"/>
      <c r="K71" s="30">
        <f>MAX(G$2:G71)</f>
        <v>15893.463999320655</v>
      </c>
      <c r="L71" s="30">
        <f>MAX(H$2:H71)</f>
        <v>17962.87184459767</v>
      </c>
      <c r="M71" s="30">
        <f>MAX(I$2:I71)</f>
        <v>20165.909066721462</v>
      </c>
      <c r="N71" s="25"/>
      <c r="O71" s="29">
        <f t="shared" si="7"/>
        <v>-2.7100713429405232E-2</v>
      </c>
      <c r="P71" s="29">
        <f t="shared" si="8"/>
        <v>-3.2665653702763087E-2</v>
      </c>
      <c r="Q71" s="29">
        <f t="shared" si="9"/>
        <v>-3.8230593976120941E-2</v>
      </c>
    </row>
    <row r="72" spans="1:17" ht="15">
      <c r="A72" s="28">
        <f>Returns!A72</f>
        <v>44530</v>
      </c>
      <c r="B72" s="29">
        <f>Returns!B72*Assumptions!$B$2+Returns!C72*Assumptions!$B$3+Returns!D72*Assumptions!$B$4</f>
        <v>-4.0508132461291799E-5</v>
      </c>
      <c r="C72" s="29">
        <f>Returns!B72*Assumptions!$C$2+Returns!C72*Assumptions!$C$3+Returns!D72*Assumptions!$C$4</f>
        <v>-5.5214354174509209E-3</v>
      </c>
      <c r="D72" s="29">
        <f>Returns!B72*Assumptions!$D$2+Returns!C72*Assumptions!$D$3+Returns!D72*Assumptions!$D$4</f>
        <v>-1.1002362702440548E-2</v>
      </c>
      <c r="E72" s="25"/>
      <c r="F72" s="28">
        <f t="shared" si="10"/>
        <v>44498</v>
      </c>
      <c r="G72" s="30">
        <f t="shared" si="11"/>
        <v>15791.579496789931</v>
      </c>
      <c r="H72" s="30">
        <f t="shared" si="12"/>
        <v>17968.881742924779</v>
      </c>
      <c r="I72" s="30">
        <f t="shared" si="13"/>
        <v>20305.792220724328</v>
      </c>
      <c r="J72" s="25"/>
      <c r="K72" s="30">
        <f>MAX(G$2:G72)</f>
        <v>15893.463999320655</v>
      </c>
      <c r="L72" s="30">
        <f>MAX(H$2:H72)</f>
        <v>17968.881742924779</v>
      </c>
      <c r="M72" s="30">
        <f>MAX(I$2:I72)</f>
        <v>20305.792220724328</v>
      </c>
      <c r="N72" s="25"/>
      <c r="O72" s="29">
        <f t="shared" si="7"/>
        <v>-6.4104654929271199E-3</v>
      </c>
      <c r="P72" s="29">
        <f t="shared" si="8"/>
        <v>0</v>
      </c>
      <c r="Q72" s="29">
        <f t="shared" si="9"/>
        <v>0</v>
      </c>
    </row>
    <row r="73" spans="1:17" ht="15">
      <c r="A73" s="28">
        <f>Returns!A73</f>
        <v>44561</v>
      </c>
      <c r="B73" s="29">
        <f>Returns!B73*Assumptions!$B$2+Returns!C73*Assumptions!$B$3+Returns!D73*Assumptions!$B$4</f>
        <v>1.406491174213269E-2</v>
      </c>
      <c r="C73" s="29">
        <f>Returns!B73*Assumptions!$C$2+Returns!C73*Assumptions!$C$3+Returns!D73*Assumptions!$C$4</f>
        <v>2.371768395954206E-2</v>
      </c>
      <c r="D73" s="29">
        <f>Returns!B73*Assumptions!$D$2+Returns!C73*Assumptions!$D$3+Returns!D73*Assumptions!$D$4</f>
        <v>3.3370456176951419E-2</v>
      </c>
      <c r="E73" s="25"/>
      <c r="F73" s="28">
        <f t="shared" si="10"/>
        <v>44530</v>
      </c>
      <c r="G73" s="30">
        <f t="shared" si="11"/>
        <v>15790.939809395903</v>
      </c>
      <c r="H73" s="30">
        <f t="shared" si="12"/>
        <v>17869.667722857408</v>
      </c>
      <c r="I73" s="30">
        <f t="shared" si="13"/>
        <v>20082.380529751521</v>
      </c>
      <c r="J73" s="25"/>
      <c r="K73" s="30">
        <f>MAX(G$2:G73)</f>
        <v>15893.463999320655</v>
      </c>
      <c r="L73" s="30">
        <f>MAX(H$2:H73)</f>
        <v>17968.881742924779</v>
      </c>
      <c r="M73" s="30">
        <f>MAX(I$2:I73)</f>
        <v>20305.792220724328</v>
      </c>
      <c r="N73" s="25"/>
      <c r="O73" s="29">
        <f t="shared" si="7"/>
        <v>-6.4507139494029975E-3</v>
      </c>
      <c r="P73" s="29">
        <f t="shared" si="8"/>
        <v>-5.5214354174508706E-3</v>
      </c>
      <c r="Q73" s="29">
        <f t="shared" si="9"/>
        <v>-1.1002362702440704E-2</v>
      </c>
    </row>
    <row r="74" spans="1:17" ht="15">
      <c r="A74" s="28">
        <f>Returns!A74</f>
        <v>44592</v>
      </c>
      <c r="B74" s="29">
        <f>Returns!B74*Assumptions!$B$2+Returns!C74*Assumptions!$B$3+Returns!D74*Assumptions!$B$4</f>
        <v>-3.1415850313846666E-2</v>
      </c>
      <c r="C74" s="29">
        <f>Returns!B74*Assumptions!$C$2+Returns!C74*Assumptions!$C$3+Returns!D74*Assumptions!$C$4</f>
        <v>-3.6558625054746829E-2</v>
      </c>
      <c r="D74" s="29">
        <f>Returns!B74*Assumptions!$D$2+Returns!C74*Assumptions!$D$3+Returns!D74*Assumptions!$D$4</f>
        <v>-4.1701399795646972E-2</v>
      </c>
      <c r="E74" s="25"/>
      <c r="F74" s="28">
        <f t="shared" si="10"/>
        <v>44561</v>
      </c>
      <c r="G74" s="30">
        <f t="shared" si="11"/>
        <v>16013.037984140386</v>
      </c>
      <c r="H74" s="30">
        <f t="shared" si="12"/>
        <v>18293.494854370172</v>
      </c>
      <c r="I74" s="30">
        <f t="shared" si="13"/>
        <v>20752.538729148459</v>
      </c>
      <c r="J74" s="25"/>
      <c r="K74" s="30">
        <f>MAX(G$2:G74)</f>
        <v>16013.037984140386</v>
      </c>
      <c r="L74" s="30">
        <f>MAX(H$2:H74)</f>
        <v>18293.494854370172</v>
      </c>
      <c r="M74" s="30">
        <f>MAX(I$2:I74)</f>
        <v>20752.538729148459</v>
      </c>
      <c r="N74" s="25"/>
      <c r="O74" s="29">
        <f t="shared" si="7"/>
        <v>0</v>
      </c>
      <c r="P74" s="29">
        <f t="shared" si="8"/>
        <v>0</v>
      </c>
      <c r="Q74" s="29">
        <f t="shared" si="9"/>
        <v>0</v>
      </c>
    </row>
    <row r="75" spans="1:17" ht="15">
      <c r="A75" s="28">
        <f>Returns!A75</f>
        <v>44620</v>
      </c>
      <c r="B75" s="29">
        <f>Returns!B75*Assumptions!$B$2+Returns!C75*Assumptions!$B$3+Returns!D75*Assumptions!$B$4</f>
        <v>-1.3610997527396827E-2</v>
      </c>
      <c r="C75" s="29">
        <f>Returns!B75*Assumptions!$C$2+Returns!C75*Assumptions!$C$3+Returns!D75*Assumptions!$C$4</f>
        <v>-1.8895977846286861E-2</v>
      </c>
      <c r="D75" s="29">
        <f>Returns!B75*Assumptions!$D$2+Returns!C75*Assumptions!$D$3+Returns!D75*Assumptions!$D$4</f>
        <v>-2.4180958165176888E-2</v>
      </c>
      <c r="E75" s="25"/>
      <c r="F75" s="28">
        <f t="shared" si="10"/>
        <v>44592</v>
      </c>
      <c r="G75" s="30">
        <f t="shared" si="11"/>
        <v>15509.974779760692</v>
      </c>
      <c r="H75" s="30">
        <f t="shared" si="12"/>
        <v>17624.709835048314</v>
      </c>
      <c r="I75" s="30">
        <f t="shared" si="13"/>
        <v>19887.12881482959</v>
      </c>
      <c r="J75" s="25"/>
      <c r="K75" s="30">
        <f>MAX(G$2:G75)</f>
        <v>16013.037984140386</v>
      </c>
      <c r="L75" s="30">
        <f>MAX(H$2:H75)</f>
        <v>18293.494854370172</v>
      </c>
      <c r="M75" s="30">
        <f>MAX(I$2:I75)</f>
        <v>20752.538729148459</v>
      </c>
      <c r="N75" s="25"/>
      <c r="O75" s="29">
        <f t="shared" si="7"/>
        <v>-3.1415850313846638E-2</v>
      </c>
      <c r="P75" s="29">
        <f t="shared" si="8"/>
        <v>-3.6558625054746718E-2</v>
      </c>
      <c r="Q75" s="29">
        <f t="shared" si="9"/>
        <v>-4.1701399795647021E-2</v>
      </c>
    </row>
    <row r="76" spans="1:17" ht="15">
      <c r="A76" s="28">
        <f>Returns!A76</f>
        <v>44651</v>
      </c>
      <c r="B76" s="29">
        <f>Returns!B76*Assumptions!$B$2+Returns!C76*Assumptions!$B$3+Returns!D76*Assumptions!$B$4</f>
        <v>-1.3353398407262351E-2</v>
      </c>
      <c r="C76" s="29">
        <f>Returns!B76*Assumptions!$C$2+Returns!C76*Assumptions!$C$3+Returns!D76*Assumptions!$C$4</f>
        <v>2.7465706812240809E-4</v>
      </c>
      <c r="D76" s="29">
        <f>Returns!B76*Assumptions!$D$2+Returns!C76*Assumptions!$D$3+Returns!D76*Assumptions!$D$4</f>
        <v>1.3902712543507164E-2</v>
      </c>
      <c r="E76" s="25"/>
      <c r="F76" s="28">
        <f t="shared" si="10"/>
        <v>44620</v>
      </c>
      <c r="G76" s="30">
        <f t="shared" si="11"/>
        <v>15298.868551383383</v>
      </c>
      <c r="H76" s="30">
        <f t="shared" si="12"/>
        <v>17291.673708458009</v>
      </c>
      <c r="I76" s="30">
        <f t="shared" si="13"/>
        <v>19406.238984932712</v>
      </c>
      <c r="J76" s="25"/>
      <c r="K76" s="30">
        <f>MAX(G$2:G76)</f>
        <v>16013.037984140386</v>
      </c>
      <c r="L76" s="30">
        <f>MAX(H$2:H76)</f>
        <v>18293.494854370172</v>
      </c>
      <c r="M76" s="30">
        <f>MAX(I$2:I76)</f>
        <v>20752.538729148459</v>
      </c>
      <c r="N76" s="25"/>
      <c r="O76" s="29">
        <f t="shared" si="7"/>
        <v>-4.4599246780300583E-2</v>
      </c>
      <c r="P76" s="29">
        <f t="shared" si="8"/>
        <v>-5.4763791931908279E-2</v>
      </c>
      <c r="Q76" s="29">
        <f t="shared" si="9"/>
        <v>-6.4873978156936074E-2</v>
      </c>
    </row>
    <row r="77" spans="1:17" ht="15">
      <c r="A77" s="28">
        <f>Returns!A77</f>
        <v>44680</v>
      </c>
      <c r="B77" s="29">
        <f>Returns!B77*Assumptions!$B$2+Returns!C77*Assumptions!$B$3+Returns!D77*Assumptions!$B$4</f>
        <v>-5.8468696780813526E-2</v>
      </c>
      <c r="C77" s="29">
        <f>Returns!B77*Assumptions!$C$2+Returns!C77*Assumptions!$C$3+Returns!D77*Assumptions!$C$4</f>
        <v>-6.6561858482504344E-2</v>
      </c>
      <c r="D77" s="29">
        <f>Returns!B77*Assumptions!$D$2+Returns!C77*Assumptions!$D$3+Returns!D77*Assumptions!$D$4</f>
        <v>-7.4655020184195148E-2</v>
      </c>
      <c r="E77" s="25"/>
      <c r="F77" s="28">
        <f t="shared" si="10"/>
        <v>44651</v>
      </c>
      <c r="G77" s="30">
        <f t="shared" si="11"/>
        <v>15094.576664436423</v>
      </c>
      <c r="H77" s="30">
        <f t="shared" si="12"/>
        <v>17296.422988861705</v>
      </c>
      <c r="I77" s="30">
        <f t="shared" si="13"/>
        <v>19676.038347090835</v>
      </c>
      <c r="J77" s="25"/>
      <c r="K77" s="30">
        <f>MAX(G$2:G77)</f>
        <v>16013.037984140386</v>
      </c>
      <c r="L77" s="30">
        <f>MAX(H$2:H77)</f>
        <v>18293.494854370172</v>
      </c>
      <c r="M77" s="30">
        <f>MAX(I$2:I77)</f>
        <v>20752.538729148459</v>
      </c>
      <c r="N77" s="25"/>
      <c r="O77" s="29">
        <f t="shared" si="7"/>
        <v>-5.7357093676641768E-2</v>
      </c>
      <c r="P77" s="29">
        <f t="shared" si="8"/>
        <v>-5.4504176126317083E-2</v>
      </c>
      <c r="Q77" s="29">
        <f t="shared" si="9"/>
        <v>-5.1873189883298476E-2</v>
      </c>
    </row>
    <row r="78" spans="1:17" ht="15">
      <c r="A78" s="28">
        <f>Returns!A78</f>
        <v>44712</v>
      </c>
      <c r="B78" s="29">
        <f>Returns!B78*Assumptions!$B$2+Returns!C78*Assumptions!$B$3+Returns!D78*Assumptions!$B$4</f>
        <v>5.978858710245216E-3</v>
      </c>
      <c r="C78" s="29">
        <f>Returns!B78*Assumptions!$C$2+Returns!C78*Assumptions!$C$3+Returns!D78*Assumptions!$C$4</f>
        <v>5.8762453677429606E-3</v>
      </c>
      <c r="D78" s="29">
        <f>Returns!B78*Assumptions!$D$2+Returns!C78*Assumptions!$D$3+Returns!D78*Assumptions!$D$4</f>
        <v>5.7736320252407053E-3</v>
      </c>
      <c r="E78" s="25"/>
      <c r="F78" s="28">
        <f t="shared" si="10"/>
        <v>44680</v>
      </c>
      <c r="G78" s="30">
        <f t="shared" si="11"/>
        <v>14212.016438408746</v>
      </c>
      <c r="H78" s="30">
        <f t="shared" si="12"/>
        <v>16145.140929623558</v>
      </c>
      <c r="I78" s="30">
        <f t="shared" si="13"/>
        <v>18207.123307143771</v>
      </c>
      <c r="J78" s="25"/>
      <c r="K78" s="30">
        <f>MAX(G$2:G78)</f>
        <v>16013.037984140386</v>
      </c>
      <c r="L78" s="30">
        <f>MAX(H$2:H78)</f>
        <v>18293.494854370172</v>
      </c>
      <c r="M78" s="30">
        <f>MAX(I$2:I78)</f>
        <v>20752.538729148459</v>
      </c>
      <c r="N78" s="25"/>
      <c r="O78" s="29">
        <f t="shared" si="7"/>
        <v>-0.11247219593904711</v>
      </c>
      <c r="P78" s="29">
        <f t="shared" si="8"/>
        <v>-0.11743813535079595</v>
      </c>
      <c r="Q78" s="29">
        <f t="shared" si="9"/>
        <v>-0.1226556160297374</v>
      </c>
    </row>
    <row r="79" spans="1:17" ht="15">
      <c r="A79" s="28">
        <f>Returns!A79</f>
        <v>44742</v>
      </c>
      <c r="B79" s="29">
        <f>Returns!B79*Assumptions!$B$2+Returns!C79*Assumptions!$B$3+Returns!D79*Assumptions!$B$4</f>
        <v>-3.8285539708400117E-2</v>
      </c>
      <c r="C79" s="29">
        <f>Returns!B79*Assumptions!$C$2+Returns!C79*Assumptions!$C$3+Returns!D79*Assumptions!$C$4</f>
        <v>-5.3111027217891169E-2</v>
      </c>
      <c r="D79" s="29">
        <f>Returns!B79*Assumptions!$D$2+Returns!C79*Assumptions!$D$3+Returns!D79*Assumptions!$D$4</f>
        <v>-6.79365147273822E-2</v>
      </c>
      <c r="E79" s="25"/>
      <c r="F79" s="28">
        <f t="shared" si="10"/>
        <v>44712</v>
      </c>
      <c r="G79" s="30">
        <f t="shared" si="11"/>
        <v>14296.988076681673</v>
      </c>
      <c r="H79" s="30">
        <f t="shared" si="12"/>
        <v>16240.013739222817</v>
      </c>
      <c r="I79" s="30">
        <f t="shared" si="13"/>
        <v>18312.244537357401</v>
      </c>
      <c r="J79" s="25"/>
      <c r="K79" s="30">
        <f>MAX(G$2:G79)</f>
        <v>16013.037984140386</v>
      </c>
      <c r="L79" s="30">
        <f>MAX(H$2:H79)</f>
        <v>18293.494854370172</v>
      </c>
      <c r="M79" s="30">
        <f>MAX(I$2:I79)</f>
        <v>20752.538729148459</v>
      </c>
      <c r="N79" s="25"/>
      <c r="O79" s="29">
        <f t="shared" si="7"/>
        <v>-0.10716579259715253</v>
      </c>
      <c r="P79" s="29">
        <f t="shared" si="8"/>
        <v>-0.11225198528190439</v>
      </c>
      <c r="Q79" s="29">
        <f t="shared" si="9"/>
        <v>-0.11759015239728166</v>
      </c>
    </row>
    <row r="80" spans="1:17" ht="15">
      <c r="A80" s="28">
        <f>Returns!A80</f>
        <v>44771</v>
      </c>
      <c r="B80" s="29">
        <f>Returns!B80*Assumptions!$B$2+Returns!C80*Assumptions!$B$3+Returns!D80*Assumptions!$B$4</f>
        <v>4.9422912061610112E-2</v>
      </c>
      <c r="C80" s="29">
        <f>Returns!B80*Assumptions!$C$2+Returns!C80*Assumptions!$C$3+Returns!D80*Assumptions!$C$4</f>
        <v>5.932696543964059E-2</v>
      </c>
      <c r="D80" s="29">
        <f>Returns!B80*Assumptions!$D$2+Returns!C80*Assumptions!$D$3+Returns!D80*Assumptions!$D$4</f>
        <v>6.9231018817671061E-2</v>
      </c>
      <c r="E80" s="25"/>
      <c r="F80" s="28">
        <f t="shared" si="10"/>
        <v>44742</v>
      </c>
      <c r="G80" s="30">
        <f t="shared" si="11"/>
        <v>13749.620171961355</v>
      </c>
      <c r="H80" s="30">
        <f t="shared" si="12"/>
        <v>15377.489927500028</v>
      </c>
      <c r="I80" s="30">
        <f t="shared" si="13"/>
        <v>17068.174466653796</v>
      </c>
      <c r="J80" s="25"/>
      <c r="K80" s="30">
        <f>MAX(G$2:G80)</f>
        <v>16013.037984140386</v>
      </c>
      <c r="L80" s="30">
        <f>MAX(H$2:H80)</f>
        <v>18293.494854370172</v>
      </c>
      <c r="M80" s="30">
        <f>MAX(I$2:I80)</f>
        <v>20752.538729148459</v>
      </c>
      <c r="N80" s="25"/>
      <c r="O80" s="29">
        <f t="shared" si="7"/>
        <v>-0.1413484320976921</v>
      </c>
      <c r="P80" s="29">
        <f t="shared" si="8"/>
        <v>-0.15940119425422605</v>
      </c>
      <c r="Q80" s="29">
        <f t="shared" si="9"/>
        <v>-0.17753800200453085</v>
      </c>
    </row>
    <row r="81" spans="1:17" ht="15">
      <c r="A81" s="28">
        <f>Returns!A81</f>
        <v>44804</v>
      </c>
      <c r="B81" s="29">
        <f>Returns!B81*Assumptions!$B$2+Returns!C81*Assumptions!$B$3+Returns!D81*Assumptions!$B$4</f>
        <v>-4.0115294573903643E-2</v>
      </c>
      <c r="C81" s="29">
        <f>Returns!B81*Assumptions!$C$2+Returns!C81*Assumptions!$C$3+Returns!D81*Assumptions!$C$4</f>
        <v>-4.0903666365451223E-2</v>
      </c>
      <c r="D81" s="29">
        <f>Returns!B81*Assumptions!$D$2+Returns!C81*Assumptions!$D$3+Returns!D81*Assumptions!$D$4</f>
        <v>-4.1692038156998804E-2</v>
      </c>
      <c r="E81" s="25"/>
      <c r="F81" s="28">
        <f t="shared" si="10"/>
        <v>44771</v>
      </c>
      <c r="G81" s="30">
        <f t="shared" si="11"/>
        <v>14429.16644060074</v>
      </c>
      <c r="H81" s="30">
        <f t="shared" si="12"/>
        <v>16289.789740977245</v>
      </c>
      <c r="I81" s="30">
        <f t="shared" si="13"/>
        <v>18249.821574337999</v>
      </c>
      <c r="J81" s="25"/>
      <c r="K81" s="30">
        <f>MAX(G$2:G81)</f>
        <v>16013.037984140386</v>
      </c>
      <c r="L81" s="30">
        <f>MAX(H$2:H81)</f>
        <v>18293.494854370172</v>
      </c>
      <c r="M81" s="30">
        <f>MAX(I$2:I81)</f>
        <v>20752.538729148459</v>
      </c>
      <c r="N81" s="25"/>
      <c r="O81" s="29">
        <f t="shared" si="7"/>
        <v>-9.8911371165692707E-2</v>
      </c>
      <c r="P81" s="29">
        <f t="shared" si="8"/>
        <v>-0.10953101795714326</v>
      </c>
      <c r="Q81" s="29">
        <f t="shared" si="9"/>
        <v>-0.1205981199444871</v>
      </c>
    </row>
    <row r="82" spans="1:17" ht="15">
      <c r="A82" s="28">
        <f>Returns!A82</f>
        <v>44834</v>
      </c>
      <c r="B82" s="29">
        <f>Returns!B82*Assumptions!$B$2+Returns!C82*Assumptions!$B$3+Returns!D82*Assumptions!$B$4</f>
        <v>-6.5991390323210428E-2</v>
      </c>
      <c r="C82" s="29">
        <f>Returns!B82*Assumptions!$C$2+Returns!C82*Assumptions!$C$3+Returns!D82*Assumptions!$C$4</f>
        <v>-7.5312117681003474E-2</v>
      </c>
      <c r="D82" s="29">
        <f>Returns!B82*Assumptions!$D$2+Returns!C82*Assumptions!$D$3+Returns!D82*Assumptions!$D$4</f>
        <v>-8.463284503879652E-2</v>
      </c>
      <c r="E82" s="25"/>
      <c r="F82" s="28">
        <f t="shared" si="10"/>
        <v>44804</v>
      </c>
      <c r="G82" s="30">
        <f t="shared" si="11"/>
        <v>13850.336178380157</v>
      </c>
      <c r="H82" s="30">
        <f t="shared" si="12"/>
        <v>15623.477616248962</v>
      </c>
      <c r="I82" s="30">
        <f t="shared" si="13"/>
        <v>17488.949316902279</v>
      </c>
      <c r="J82" s="25"/>
      <c r="K82" s="30">
        <f>MAX(G$2:G82)</f>
        <v>16013.037984140386</v>
      </c>
      <c r="L82" s="30">
        <f>MAX(H$2:H82)</f>
        <v>18293.494854370172</v>
      </c>
      <c r="M82" s="30">
        <f>MAX(I$2:I82)</f>
        <v>20752.538729148459</v>
      </c>
      <c r="N82" s="25"/>
      <c r="O82" s="29">
        <f t="shared" si="7"/>
        <v>-0.13505880694857586</v>
      </c>
      <c r="P82" s="29">
        <f t="shared" si="8"/>
        <v>-0.1459544641074072</v>
      </c>
      <c r="Q82" s="29">
        <f t="shared" si="9"/>
        <v>-0.15726217668309805</v>
      </c>
    </row>
    <row r="83" spans="1:17" ht="15">
      <c r="A83" s="28">
        <f>Returns!A83</f>
        <v>44865</v>
      </c>
      <c r="B83" s="29">
        <f>Returns!B83*Assumptions!$B$2+Returns!C83*Assumptions!$B$3+Returns!D83*Assumptions!$B$4</f>
        <v>1.9441104217365203E-2</v>
      </c>
      <c r="C83" s="29">
        <f>Returns!B83*Assumptions!$C$2+Returns!C83*Assumptions!$C$3+Returns!D83*Assumptions!$C$4</f>
        <v>3.643158093379386E-2</v>
      </c>
      <c r="D83" s="29">
        <f>Returns!B83*Assumptions!$D$2+Returns!C83*Assumptions!$D$3+Returns!D83*Assumptions!$D$4</f>
        <v>5.3422057650222524E-2</v>
      </c>
      <c r="E83" s="25"/>
      <c r="F83" s="28">
        <f t="shared" si="10"/>
        <v>44834</v>
      </c>
      <c r="G83" s="30">
        <f t="shared" si="11"/>
        <v>12936.33323752499</v>
      </c>
      <c r="H83" s="30">
        <f t="shared" si="12"/>
        <v>14446.840431427498</v>
      </c>
      <c r="I83" s="30">
        <f t="shared" si="13"/>
        <v>16008.809779473522</v>
      </c>
      <c r="J83" s="25"/>
      <c r="K83" s="30">
        <f>MAX(G$2:G83)</f>
        <v>16013.037984140386</v>
      </c>
      <c r="L83" s="30">
        <f>MAX(H$2:H83)</f>
        <v>18293.494854370172</v>
      </c>
      <c r="M83" s="30">
        <f>MAX(I$2:I83)</f>
        <v>20752.538729148459</v>
      </c>
      <c r="N83" s="25"/>
      <c r="O83" s="29">
        <f t="shared" si="7"/>
        <v>-0.19213747882585563</v>
      </c>
      <c r="P83" s="29">
        <f t="shared" si="8"/>
        <v>-0.21027444201148582</v>
      </c>
      <c r="Q83" s="29">
        <f t="shared" si="9"/>
        <v>-0.22858547629221004</v>
      </c>
    </row>
    <row r="84" spans="1:17" ht="15">
      <c r="A84" s="28">
        <f>Returns!A84</f>
        <v>44895</v>
      </c>
      <c r="B84" s="29">
        <f>Returns!B84*Assumptions!$B$2+Returns!C84*Assumptions!$B$3+Returns!D84*Assumptions!$B$4</f>
        <v>5.1233864125906622E-2</v>
      </c>
      <c r="C84" s="29">
        <f>Returns!B84*Assumptions!$C$2+Returns!C84*Assumptions!$C$3+Returns!D84*Assumptions!$C$4</f>
        <v>5.8789604003968057E-2</v>
      </c>
      <c r="D84" s="29">
        <f>Returns!B84*Assumptions!$D$2+Returns!C84*Assumptions!$D$3+Returns!D84*Assumptions!$D$4</f>
        <v>6.6345343882029478E-2</v>
      </c>
      <c r="E84" s="25"/>
      <c r="F84" s="28">
        <f t="shared" si="10"/>
        <v>44865</v>
      </c>
      <c r="G84" s="30">
        <f t="shared" si="11"/>
        <v>13187.829840186279</v>
      </c>
      <c r="H84" s="30">
        <f t="shared" si="12"/>
        <v>14973.161667842654</v>
      </c>
      <c r="I84" s="30">
        <f t="shared" si="13"/>
        <v>16864.033338424</v>
      </c>
      <c r="J84" s="25"/>
      <c r="K84" s="30">
        <f>MAX(G$2:G84)</f>
        <v>16013.037984140386</v>
      </c>
      <c r="L84" s="30">
        <f>MAX(H$2:H84)</f>
        <v>18293.494854370172</v>
      </c>
      <c r="M84" s="30">
        <f>MAX(I$2:I84)</f>
        <v>20752.538729148459</v>
      </c>
      <c r="N84" s="25"/>
      <c r="O84" s="29">
        <f t="shared" si="7"/>
        <v>-0.17643173935840573</v>
      </c>
      <c r="P84" s="29">
        <f t="shared" si="8"/>
        <v>-0.18150349143014166</v>
      </c>
      <c r="Q84" s="29">
        <f t="shared" si="9"/>
        <v>-0.18737492513447374</v>
      </c>
    </row>
    <row r="85" spans="1:17" ht="15">
      <c r="A85" s="28">
        <f>Returns!A85</f>
        <v>44925</v>
      </c>
      <c r="B85" s="29">
        <f>Returns!B85*Assumptions!$B$2+Returns!C85*Assumptions!$B$3+Returns!D85*Assumptions!$B$4</f>
        <v>-2.8305629020809762E-2</v>
      </c>
      <c r="C85" s="29">
        <f>Returns!B85*Assumptions!$C$2+Returns!C85*Assumptions!$C$3+Returns!D85*Assumptions!$C$4</f>
        <v>-3.5018048653242213E-2</v>
      </c>
      <c r="D85" s="29">
        <f>Returns!B85*Assumptions!$D$2+Returns!C85*Assumptions!$D$3+Returns!D85*Assumptions!$D$4</f>
        <v>-4.1730468285674657E-2</v>
      </c>
      <c r="E85" s="25"/>
      <c r="F85" s="28">
        <f t="shared" si="10"/>
        <v>44895</v>
      </c>
      <c r="G85" s="30">
        <f t="shared" si="11"/>
        <v>13863.493322333961</v>
      </c>
      <c r="H85" s="30">
        <f t="shared" si="12"/>
        <v>15853.427912982519</v>
      </c>
      <c r="I85" s="30">
        <f t="shared" si="13"/>
        <v>17982.88342949975</v>
      </c>
      <c r="J85" s="25"/>
      <c r="K85" s="30">
        <f>MAX(G$2:G85)</f>
        <v>16013.037984140386</v>
      </c>
      <c r="L85" s="30">
        <f>MAX(H$2:H85)</f>
        <v>18293.494854370172</v>
      </c>
      <c r="M85" s="30">
        <f>MAX(I$2:I85)</f>
        <v>20752.538729148459</v>
      </c>
      <c r="N85" s="25"/>
      <c r="O85" s="29">
        <f t="shared" si="7"/>
        <v>-0.1342371549942849</v>
      </c>
      <c r="P85" s="29">
        <f t="shared" si="8"/>
        <v>-0.13338440581268918</v>
      </c>
      <c r="Q85" s="29">
        <f t="shared" si="9"/>
        <v>-0.13346103509536034</v>
      </c>
    </row>
    <row r="86" spans="1:17" ht="15">
      <c r="A86" s="28">
        <f>Returns!A86</f>
        <v>44957</v>
      </c>
      <c r="B86" s="29">
        <f>Returns!B86*Assumptions!$B$2+Returns!C86*Assumptions!$B$3+Returns!D86*Assumptions!$B$4</f>
        <v>4.9081335094471767E-2</v>
      </c>
      <c r="C86" s="29">
        <f>Returns!B86*Assumptions!$C$2+Returns!C86*Assumptions!$C$3+Returns!D86*Assumptions!$C$4</f>
        <v>5.5716342540489905E-2</v>
      </c>
      <c r="D86" s="29">
        <f>Returns!B86*Assumptions!$D$2+Returns!C86*Assumptions!$D$3+Returns!D86*Assumptions!$D$4</f>
        <v>6.2351349986508042E-2</v>
      </c>
      <c r="E86" s="25"/>
      <c r="F86" s="28">
        <f t="shared" si="10"/>
        <v>44925</v>
      </c>
      <c r="G86" s="30">
        <f t="shared" si="11"/>
        <v>13471.078423419502</v>
      </c>
      <c r="H86" s="30">
        <f t="shared" si="12"/>
        <v>15298.271803005029</v>
      </c>
      <c r="I86" s="30">
        <f t="shared" si="13"/>
        <v>17232.449282860027</v>
      </c>
      <c r="J86" s="25"/>
      <c r="K86" s="30">
        <f>MAX(G$2:G86)</f>
        <v>16013.037984140386</v>
      </c>
      <c r="L86" s="30">
        <f>MAX(H$2:H86)</f>
        <v>18293.494854370172</v>
      </c>
      <c r="M86" s="30">
        <f>MAX(I$2:I86)</f>
        <v>20752.538729148459</v>
      </c>
      <c r="N86" s="25"/>
      <c r="O86" s="29">
        <f t="shared" si="7"/>
        <v>-0.15874311690501763</v>
      </c>
      <c r="P86" s="29">
        <f t="shared" si="8"/>
        <v>-0.16373159285359884</v>
      </c>
      <c r="Q86" s="29">
        <f t="shared" si="9"/>
        <v>-0.16962211188861476</v>
      </c>
    </row>
    <row r="87" spans="1:17" ht="15">
      <c r="A87" s="28">
        <f>Returns!A87</f>
        <v>44985</v>
      </c>
      <c r="B87" s="29">
        <f>Returns!B87*Assumptions!$B$2+Returns!C87*Assumptions!$B$3+Returns!D87*Assumptions!$B$4</f>
        <v>-3.1478421908062812E-2</v>
      </c>
      <c r="C87" s="29">
        <f>Returns!B87*Assumptions!$C$2+Returns!C87*Assumptions!$C$3+Returns!D87*Assumptions!$C$4</f>
        <v>-3.0863790471956181E-2</v>
      </c>
      <c r="D87" s="29">
        <f>Returns!B87*Assumptions!$D$2+Returns!C87*Assumptions!$D$3+Returns!D87*Assumptions!$D$4</f>
        <v>-3.024915903584955E-2</v>
      </c>
      <c r="E87" s="25"/>
      <c r="F87" s="28">
        <f t="shared" si="10"/>
        <v>44957</v>
      </c>
      <c r="G87" s="30">
        <f t="shared" si="11"/>
        <v>14132.256937603264</v>
      </c>
      <c r="H87" s="30">
        <f t="shared" si="12"/>
        <v>16150.635555058774</v>
      </c>
      <c r="I87" s="30">
        <f t="shared" si="13"/>
        <v>18306.915759220381</v>
      </c>
      <c r="J87" s="25"/>
      <c r="K87" s="30">
        <f>MAX(G$2:G87)</f>
        <v>16013.037984140386</v>
      </c>
      <c r="L87" s="30">
        <f>MAX(H$2:H87)</f>
        <v>18293.494854370172</v>
      </c>
      <c r="M87" s="30">
        <f>MAX(I$2:I87)</f>
        <v>20752.538729148459</v>
      </c>
      <c r="N87" s="25"/>
      <c r="O87" s="29">
        <f t="shared" si="7"/>
        <v>-0.11745310592530178</v>
      </c>
      <c r="P87" s="29">
        <f t="shared" si="8"/>
        <v>-0.11713777582524021</v>
      </c>
      <c r="Q87" s="29">
        <f t="shared" si="9"/>
        <v>-0.11784692956592446</v>
      </c>
    </row>
    <row r="88" spans="1:17" ht="15">
      <c r="A88" s="28">
        <f>Returns!A88</f>
        <v>45016</v>
      </c>
      <c r="B88" s="29">
        <f>Returns!B88*Assumptions!$B$2+Returns!C88*Assumptions!$B$3+Returns!D88*Assumptions!$B$4</f>
        <v>3.6276185929094387E-2</v>
      </c>
      <c r="C88" s="29">
        <f>Returns!B88*Assumptions!$C$2+Returns!C88*Assumptions!$C$3+Returns!D88*Assumptions!$C$4</f>
        <v>3.5808873206464739E-2</v>
      </c>
      <c r="D88" s="29">
        <f>Returns!B88*Assumptions!$D$2+Returns!C88*Assumptions!$D$3+Returns!D88*Assumptions!$D$4</f>
        <v>3.5341560483835098E-2</v>
      </c>
      <c r="E88" s="25"/>
      <c r="F88" s="28">
        <f t="shared" si="10"/>
        <v>44985</v>
      </c>
      <c r="G88" s="30">
        <f t="shared" si="11"/>
        <v>13687.395791208241</v>
      </c>
      <c r="H88" s="30">
        <f t="shared" si="12"/>
        <v>15652.165723298514</v>
      </c>
      <c r="I88" s="30">
        <f t="shared" si="13"/>
        <v>17753.146952963823</v>
      </c>
      <c r="J88" s="25"/>
      <c r="K88" s="30">
        <f>MAX(G$2:G88)</f>
        <v>16013.037984140386</v>
      </c>
      <c r="L88" s="30">
        <f>MAX(H$2:H88)</f>
        <v>18293.494854370172</v>
      </c>
      <c r="M88" s="30">
        <f>MAX(I$2:I88)</f>
        <v>20752.538729148459</v>
      </c>
      <c r="N88" s="25"/>
      <c r="O88" s="29">
        <f t="shared" si="7"/>
        <v>-0.14523428941063565</v>
      </c>
      <c r="P88" s="29">
        <f t="shared" si="8"/>
        <v>-0.14438625052777521</v>
      </c>
      <c r="Q88" s="29">
        <f t="shared" si="9"/>
        <v>-0.14453131808744779</v>
      </c>
    </row>
    <row r="89" spans="1:17" ht="15">
      <c r="A89" s="28">
        <f>Returns!A89</f>
        <v>45044</v>
      </c>
      <c r="B89" s="29">
        <f>Returns!B89*Assumptions!$B$2+Returns!C89*Assumptions!$B$3+Returns!D89*Assumptions!$B$4</f>
        <v>1.1611599189082632E-2</v>
      </c>
      <c r="C89" s="29">
        <f>Returns!B89*Assumptions!$C$2+Returns!C89*Assumptions!$C$3+Returns!D89*Assumptions!$C$4</f>
        <v>1.3343554610997933E-2</v>
      </c>
      <c r="D89" s="29">
        <f>Returns!B89*Assumptions!$D$2+Returns!C89*Assumptions!$D$3+Returns!D89*Assumptions!$D$4</f>
        <v>1.507551003291323E-2</v>
      </c>
      <c r="E89" s="25"/>
      <c r="F89" s="28">
        <f t="shared" si="10"/>
        <v>45016</v>
      </c>
      <c r="G89" s="30">
        <f t="shared" si="11"/>
        <v>14183.922305815213</v>
      </c>
      <c r="H89" s="30">
        <f t="shared" si="12"/>
        <v>16212.652141090684</v>
      </c>
      <c r="I89" s="30">
        <f t="shared" si="13"/>
        <v>18380.570869780408</v>
      </c>
      <c r="J89" s="25"/>
      <c r="K89" s="30">
        <f>MAX(G$2:G89)</f>
        <v>16013.037984140386</v>
      </c>
      <c r="L89" s="30">
        <f>MAX(H$2:H89)</f>
        <v>18293.494854370172</v>
      </c>
      <c r="M89" s="30">
        <f>MAX(I$2:I89)</f>
        <v>20752.538729148459</v>
      </c>
      <c r="N89" s="25"/>
      <c r="O89" s="29">
        <f t="shared" si="7"/>
        <v>-0.11422664956748141</v>
      </c>
      <c r="P89" s="29">
        <f t="shared" si="8"/>
        <v>-0.11374768625921639</v>
      </c>
      <c r="Q89" s="29">
        <f t="shared" si="9"/>
        <v>-0.1142977199236086</v>
      </c>
    </row>
    <row r="90" spans="1:17" ht="15">
      <c r="A90" s="28">
        <f>Returns!A90</f>
        <v>45077</v>
      </c>
      <c r="B90" s="29">
        <f>Returns!B90*Assumptions!$B$2+Returns!C90*Assumptions!$B$3+Returns!D90*Assumptions!$B$4</f>
        <v>-1.0938089446222755E-2</v>
      </c>
      <c r="C90" s="29">
        <f>Returns!B90*Assumptions!$C$2+Returns!C90*Assumptions!$C$3+Returns!D90*Assumptions!$C$4</f>
        <v>-9.2154098466698912E-3</v>
      </c>
      <c r="D90" s="29">
        <f>Returns!B90*Assumptions!$D$2+Returns!C90*Assumptions!$D$3+Returns!D90*Assumptions!$D$4</f>
        <v>-7.4927302471170304E-3</v>
      </c>
      <c r="E90" s="25"/>
      <c r="F90" s="28">
        <f t="shared" si="10"/>
        <v>45044</v>
      </c>
      <c r="G90" s="30">
        <f t="shared" si="11"/>
        <v>14348.620326559427</v>
      </c>
      <c r="H90" s="30">
        <f t="shared" si="12"/>
        <v>16428.98655032444</v>
      </c>
      <c r="I90" s="30">
        <f t="shared" si="13"/>
        <v>18657.667350338455</v>
      </c>
      <c r="J90" s="25"/>
      <c r="K90" s="30">
        <f>MAX(G$2:G90)</f>
        <v>16013.037984140386</v>
      </c>
      <c r="L90" s="30">
        <f>MAX(H$2:H90)</f>
        <v>18293.494854370172</v>
      </c>
      <c r="M90" s="30">
        <f>MAX(I$2:I90)</f>
        <v>20752.538729148459</v>
      </c>
      <c r="N90" s="25"/>
      <c r="O90" s="29">
        <f t="shared" si="7"/>
        <v>-0.10394140444988831</v>
      </c>
      <c r="P90" s="29">
        <f t="shared" si="8"/>
        <v>-0.10192193011169304</v>
      </c>
      <c r="Q90" s="29">
        <f t="shared" si="9"/>
        <v>-0.10094530631414278</v>
      </c>
    </row>
    <row r="91" spans="1:17" ht="15">
      <c r="A91" s="28">
        <f>Returns!A91</f>
        <v>45107</v>
      </c>
      <c r="B91" s="29">
        <f>Returns!B91*Assumptions!$B$2+Returns!C91*Assumptions!$B$3+Returns!D91*Assumptions!$B$4</f>
        <v>1.6748642510625529E-2</v>
      </c>
      <c r="C91" s="29">
        <f>Returns!B91*Assumptions!$C$2+Returns!C91*Assumptions!$C$3+Returns!D91*Assumptions!$C$4</f>
        <v>3.1399213763519777E-2</v>
      </c>
      <c r="D91" s="29">
        <f>Returns!B91*Assumptions!$D$2+Returns!C91*Assumptions!$D$3+Returns!D91*Assumptions!$D$4</f>
        <v>4.6049785016414005E-2</v>
      </c>
      <c r="E91" s="25"/>
      <c r="F91" s="28">
        <f t="shared" si="10"/>
        <v>45077</v>
      </c>
      <c r="G91" s="30">
        <f t="shared" si="11"/>
        <v>14191.673833997629</v>
      </c>
      <c r="H91" s="30">
        <f t="shared" si="12"/>
        <v>16277.586705897773</v>
      </c>
      <c r="I91" s="30">
        <f t="shared" si="13"/>
        <v>18517.870481841925</v>
      </c>
      <c r="J91" s="25"/>
      <c r="K91" s="30">
        <f>MAX(G$2:G91)</f>
        <v>16013.037984140386</v>
      </c>
      <c r="L91" s="30">
        <f>MAX(H$2:H91)</f>
        <v>18293.494854370172</v>
      </c>
      <c r="M91" s="30">
        <f>MAX(I$2:I91)</f>
        <v>20752.538729148459</v>
      </c>
      <c r="N91" s="25"/>
      <c r="O91" s="29">
        <f t="shared" si="7"/>
        <v>-0.11374257351707218</v>
      </c>
      <c r="P91" s="29">
        <f t="shared" si="8"/>
        <v>-0.11019808760002003</v>
      </c>
      <c r="Q91" s="29">
        <f t="shared" si="9"/>
        <v>-0.10768168061133543</v>
      </c>
    </row>
    <row r="92" spans="1:17" ht="15">
      <c r="A92" s="28">
        <f>Returns!A92</f>
        <v>45138</v>
      </c>
      <c r="B92" s="29">
        <f>Returns!B92*Assumptions!$B$2+Returns!C92*Assumptions!$B$3+Returns!D92*Assumptions!$B$4</f>
        <v>9.7897051583110805E-3</v>
      </c>
      <c r="C92" s="29">
        <f>Returns!B92*Assumptions!$C$2+Returns!C92*Assumptions!$C$3+Returns!D92*Assumptions!$C$4</f>
        <v>1.7943030760618969E-2</v>
      </c>
      <c r="D92" s="29">
        <f>Returns!B92*Assumptions!$D$2+Returns!C92*Assumptions!$D$3+Returns!D92*Assumptions!$D$4</f>
        <v>2.6096356362926867E-2</v>
      </c>
      <c r="E92" s="25"/>
      <c r="F92" s="28">
        <f t="shared" si="10"/>
        <v>45107</v>
      </c>
      <c r="G92" s="30">
        <f t="shared" si="11"/>
        <v>14429.365105670655</v>
      </c>
      <c r="H92" s="30">
        <f t="shared" si="12"/>
        <v>16788.690130430485</v>
      </c>
      <c r="I92" s="30">
        <f t="shared" si="13"/>
        <v>19370.614436492546</v>
      </c>
      <c r="J92" s="25"/>
      <c r="K92" s="30">
        <f>MAX(G$2:G92)</f>
        <v>16013.037984140386</v>
      </c>
      <c r="L92" s="30">
        <f>MAX(H$2:H92)</f>
        <v>18293.494854370172</v>
      </c>
      <c r="M92" s="30">
        <f>MAX(I$2:I92)</f>
        <v>20752.538729148459</v>
      </c>
      <c r="N92" s="25"/>
      <c r="O92" s="29">
        <f t="shared" si="7"/>
        <v>-9.8898964708522552E-2</v>
      </c>
      <c r="P92" s="29">
        <f t="shared" si="8"/>
        <v>-8.2259007145384366E-2</v>
      </c>
      <c r="Q92" s="29">
        <f t="shared" si="9"/>
        <v>-6.6590613837279489E-2</v>
      </c>
    </row>
    <row r="93" spans="1:17" ht="15">
      <c r="A93" s="28">
        <f>Returns!A93</f>
        <v>45169</v>
      </c>
      <c r="B93" s="29">
        <f>Returns!B93*Assumptions!$B$2+Returns!C93*Assumptions!$B$3+Returns!D93*Assumptions!$B$4</f>
        <v>-1.3753617406450959E-2</v>
      </c>
      <c r="C93" s="29">
        <f>Returns!B93*Assumptions!$C$2+Returns!C93*Assumptions!$C$3+Returns!D93*Assumptions!$C$4</f>
        <v>-1.6975960629490826E-2</v>
      </c>
      <c r="D93" s="29">
        <f>Returns!B93*Assumptions!$D$2+Returns!C93*Assumptions!$D$3+Returns!D93*Assumptions!$D$4</f>
        <v>-2.01983038525307E-2</v>
      </c>
      <c r="E93" s="25"/>
      <c r="F93" s="28">
        <f t="shared" si="10"/>
        <v>45138</v>
      </c>
      <c r="G93" s="30">
        <f t="shared" si="11"/>
        <v>14570.624335676794</v>
      </c>
      <c r="H93" s="30">
        <f t="shared" si="12"/>
        <v>17089.930113871298</v>
      </c>
      <c r="I93" s="30">
        <f t="shared" si="13"/>
        <v>19876.116893796112</v>
      </c>
      <c r="J93" s="25"/>
      <c r="K93" s="30">
        <f>MAX(G$2:G93)</f>
        <v>16013.037984140386</v>
      </c>
      <c r="L93" s="30">
        <f>MAX(H$2:H93)</f>
        <v>18293.494854370172</v>
      </c>
      <c r="M93" s="30">
        <f>MAX(I$2:I93)</f>
        <v>20752.538729148459</v>
      </c>
      <c r="N93" s="25"/>
      <c r="O93" s="29">
        <f t="shared" si="7"/>
        <v>-9.0077451255170082E-2</v>
      </c>
      <c r="P93" s="29">
        <f t="shared" si="8"/>
        <v>-6.5791952280312982E-2</v>
      </c>
      <c r="Q93" s="29">
        <f t="shared" si="9"/>
        <v>-4.2232029863476295E-2</v>
      </c>
    </row>
    <row r="94" spans="1:17" ht="15">
      <c r="A94" s="28">
        <f>Returns!A94</f>
        <v>45198</v>
      </c>
      <c r="B94" s="29">
        <f>Returns!B94*Assumptions!$B$2+Returns!C94*Assumptions!$B$3+Returns!D94*Assumptions!$B$4</f>
        <v>-3.6466822411175902E-2</v>
      </c>
      <c r="C94" s="29">
        <f>Returns!B94*Assumptions!$C$2+Returns!C94*Assumptions!$C$3+Returns!D94*Assumptions!$C$4</f>
        <v>-3.9006182463932011E-2</v>
      </c>
      <c r="D94" s="29">
        <f>Returns!B94*Assumptions!$D$2+Returns!C94*Assumptions!$D$3+Returns!D94*Assumptions!$D$4</f>
        <v>-4.1545542516688121E-2</v>
      </c>
      <c r="E94" s="25"/>
      <c r="F94" s="28">
        <f t="shared" si="10"/>
        <v>45169</v>
      </c>
      <c r="G94" s="30">
        <f t="shared" si="11"/>
        <v>14370.225543190771</v>
      </c>
      <c r="H94" s="30">
        <f t="shared" si="12"/>
        <v>16799.812133097468</v>
      </c>
      <c r="I94" s="30">
        <f t="shared" si="13"/>
        <v>19474.653045366798</v>
      </c>
      <c r="J94" s="25"/>
      <c r="K94" s="30">
        <f>MAX(G$2:G94)</f>
        <v>16013.037984140386</v>
      </c>
      <c r="L94" s="30">
        <f>MAX(H$2:H94)</f>
        <v>18293.494854370172</v>
      </c>
      <c r="M94" s="30">
        <f>MAX(I$2:I94)</f>
        <v>20752.538729148459</v>
      </c>
      <c r="N94" s="25"/>
      <c r="O94" s="29">
        <f t="shared" si="7"/>
        <v>-0.10259217786010921</v>
      </c>
      <c r="P94" s="29">
        <f t="shared" si="8"/>
        <v>-8.1651031318155987E-2</v>
      </c>
      <c r="Q94" s="29">
        <f t="shared" si="9"/>
        <v>-6.1577318344515408E-2</v>
      </c>
    </row>
    <row r="95" spans="1:17" ht="15">
      <c r="A95" s="28">
        <f>Returns!A95</f>
        <v>45230</v>
      </c>
      <c r="B95" s="29">
        <f>Returns!B95*Assumptions!$B$2+Returns!C95*Assumptions!$B$3+Returns!D95*Assumptions!$B$4</f>
        <v>-2.1696773946505297E-2</v>
      </c>
      <c r="C95" s="29">
        <f>Returns!B95*Assumptions!$C$2+Returns!C95*Assumptions!$C$3+Returns!D95*Assumptions!$C$4</f>
        <v>-2.2906439798368476E-2</v>
      </c>
      <c r="D95" s="29">
        <f>Returns!B95*Assumptions!$D$2+Returns!C95*Assumptions!$D$3+Returns!D95*Assumptions!$D$4</f>
        <v>-2.4116105650231652E-2</v>
      </c>
      <c r="E95" s="25"/>
      <c r="F95" s="28">
        <f t="shared" si="10"/>
        <v>45198</v>
      </c>
      <c r="G95" s="30">
        <f t="shared" si="11"/>
        <v>13846.189080298689</v>
      </c>
      <c r="H95" s="30">
        <f t="shared" si="12"/>
        <v>16144.515595674089</v>
      </c>
      <c r="I95" s="30">
        <f t="shared" si="13"/>
        <v>18665.568019272763</v>
      </c>
      <c r="J95" s="25"/>
      <c r="K95" s="30">
        <f>MAX(G$2:G95)</f>
        <v>16013.037984140386</v>
      </c>
      <c r="L95" s="30">
        <f>MAX(H$2:H95)</f>
        <v>18293.494854370172</v>
      </c>
      <c r="M95" s="30">
        <f>MAX(I$2:I95)</f>
        <v>20752.538729148459</v>
      </c>
      <c r="N95" s="25"/>
      <c r="O95" s="29">
        <f t="shared" si="7"/>
        <v>-0.13531778954048479</v>
      </c>
      <c r="P95" s="29">
        <f t="shared" si="8"/>
        <v>-0.11747231875612374</v>
      </c>
      <c r="Q95" s="29">
        <f t="shared" si="9"/>
        <v>-0.10056459776385784</v>
      </c>
    </row>
    <row r="96" spans="1:17" ht="15">
      <c r="A96" s="28">
        <f>Returns!A96</f>
        <v>45260</v>
      </c>
      <c r="B96" s="29">
        <f>Returns!B96*Assumptions!$B$2+Returns!C96*Assumptions!$B$3+Returns!D96*Assumptions!$B$4</f>
        <v>6.3211851815584669E-2</v>
      </c>
      <c r="C96" s="29">
        <f>Returns!B96*Assumptions!$C$2+Returns!C96*Assumptions!$C$3+Returns!D96*Assumptions!$C$4</f>
        <v>7.2045334116262502E-2</v>
      </c>
      <c r="D96" s="29">
        <f>Returns!B96*Assumptions!$D$2+Returns!C96*Assumptions!$D$3+Returns!D96*Assumptions!$D$4</f>
        <v>8.0878816416940336E-2</v>
      </c>
      <c r="E96" s="25"/>
      <c r="F96" s="28">
        <f t="shared" si="10"/>
        <v>45230</v>
      </c>
      <c r="G96" s="30">
        <f t="shared" si="11"/>
        <v>13545.771445802879</v>
      </c>
      <c r="H96" s="30">
        <f t="shared" si="12"/>
        <v>15774.70222110796</v>
      </c>
      <c r="I96" s="30">
        <f t="shared" si="13"/>
        <v>18215.427208898396</v>
      </c>
      <c r="J96" s="25"/>
      <c r="K96" s="30">
        <f>MAX(G$2:G96)</f>
        <v>16013.037984140386</v>
      </c>
      <c r="L96" s="30">
        <f>MAX(H$2:H96)</f>
        <v>18293.494854370172</v>
      </c>
      <c r="M96" s="30">
        <f>MAX(I$2:I96)</f>
        <v>20752.538729148459</v>
      </c>
      <c r="N96" s="25"/>
      <c r="O96" s="29">
        <f t="shared" si="7"/>
        <v>-0.1540786039963894</v>
      </c>
      <c r="P96" s="29">
        <f t="shared" si="8"/>
        <v>-0.13768788595693027</v>
      </c>
      <c r="Q96" s="29">
        <f t="shared" si="9"/>
        <v>-0.12225547694974315</v>
      </c>
    </row>
    <row r="97" spans="1:17" ht="15">
      <c r="A97" s="28">
        <f>Returns!A97</f>
        <v>45289</v>
      </c>
      <c r="B97" s="29">
        <f>Returns!B97*Assumptions!$B$2+Returns!C97*Assumptions!$B$3+Returns!D97*Assumptions!$B$4</f>
        <v>4.1639627941066834E-2</v>
      </c>
      <c r="C97" s="29">
        <f>Returns!B97*Assumptions!$C$2+Returns!C97*Assumptions!$C$3+Returns!D97*Assumptions!$C$4</f>
        <v>4.3598176444305317E-2</v>
      </c>
      <c r="D97" s="29">
        <f>Returns!B97*Assumptions!$D$2+Returns!C97*Assumptions!$D$3+Returns!D97*Assumptions!$D$4</f>
        <v>4.5556724947543786E-2</v>
      </c>
      <c r="E97" s="25"/>
      <c r="F97" s="28">
        <f t="shared" si="10"/>
        <v>45260</v>
      </c>
      <c r="G97" s="30">
        <f t="shared" si="11"/>
        <v>14402.024743162749</v>
      </c>
      <c r="H97" s="30">
        <f t="shared" si="12"/>
        <v>16911.195913212232</v>
      </c>
      <c r="I97" s="30">
        <f t="shared" si="13"/>
        <v>19688.669402083029</v>
      </c>
      <c r="J97" s="25"/>
      <c r="K97" s="30">
        <f>MAX(G$2:G97)</f>
        <v>16013.037984140386</v>
      </c>
      <c r="L97" s="30">
        <f>MAX(H$2:H97)</f>
        <v>18293.494854370172</v>
      </c>
      <c r="M97" s="30">
        <f>MAX(I$2:I97)</f>
        <v>20752.538729148459</v>
      </c>
      <c r="N97" s="25"/>
      <c r="O97" s="29">
        <f t="shared" si="7"/>
        <v>-0.10060634606457663</v>
      </c>
      <c r="P97" s="29">
        <f t="shared" si="8"/>
        <v>-7.5562321588196646E-2</v>
      </c>
      <c r="Q97" s="29">
        <f t="shared" si="9"/>
        <v>-5.1264538808986626E-2</v>
      </c>
    </row>
    <row r="98" spans="1:17" ht="15">
      <c r="A98" s="28">
        <f>Returns!A98</f>
        <v>45322</v>
      </c>
      <c r="B98" s="29">
        <f>Returns!B98*Assumptions!$B$2+Returns!C98*Assumptions!$B$3+Returns!D98*Assumptions!$B$4</f>
        <v>3.4808121278073864E-3</v>
      </c>
      <c r="C98" s="29">
        <f>Returns!B98*Assumptions!$C$2+Returns!C98*Assumptions!$C$3+Returns!D98*Assumptions!$C$4</f>
        <v>4.8581873139592786E-3</v>
      </c>
      <c r="D98" s="29">
        <f>Returns!B98*Assumptions!$D$2+Returns!C98*Assumptions!$D$3+Returns!D98*Assumptions!$D$4</f>
        <v>6.2355625001111687E-3</v>
      </c>
      <c r="E98" s="25"/>
      <c r="F98" s="28">
        <f t="shared" si="10"/>
        <v>45289</v>
      </c>
      <c r="G98" s="30">
        <f t="shared" si="11"/>
        <v>15001.719695066085</v>
      </c>
      <c r="H98" s="30">
        <f t="shared" si="12"/>
        <v>17648.493216520674</v>
      </c>
      <c r="I98" s="30">
        <f t="shared" si="13"/>
        <v>20585.620698616847</v>
      </c>
      <c r="J98" s="25"/>
      <c r="K98" s="30">
        <f>MAX(G$2:G98)</f>
        <v>16013.037984140386</v>
      </c>
      <c r="L98" s="30">
        <f>MAX(H$2:H98)</f>
        <v>18293.494854370172</v>
      </c>
      <c r="M98" s="30">
        <f>MAX(I$2:I98)</f>
        <v>20752.538729148459</v>
      </c>
      <c r="N98" s="25"/>
      <c r="O98" s="29">
        <f t="shared" si="7"/>
        <v>-6.3155928942148831E-2</v>
      </c>
      <c r="P98" s="29">
        <f t="shared" si="8"/>
        <v>-3.5258524573034911E-2</v>
      </c>
      <c r="Q98" s="29">
        <f t="shared" si="9"/>
        <v>-8.0432583555265502E-3</v>
      </c>
    </row>
    <row r="99" spans="1:17" ht="15">
      <c r="A99" s="28">
        <f>Returns!A99</f>
        <v>45351</v>
      </c>
      <c r="B99" s="29">
        <f>Returns!B99*Assumptions!$B$2+Returns!C99*Assumptions!$B$3+Returns!D99*Assumptions!$B$4</f>
        <v>6.0779096679301828E-3</v>
      </c>
      <c r="C99" s="29">
        <f>Returns!B99*Assumptions!$C$2+Returns!C99*Assumptions!$C$3+Returns!D99*Assumptions!$C$4</f>
        <v>1.952992389325128E-2</v>
      </c>
      <c r="D99" s="29">
        <f>Returns!B99*Assumptions!$D$2+Returns!C99*Assumptions!$D$3+Returns!D99*Assumptions!$D$4</f>
        <v>3.2981938118572376E-2</v>
      </c>
      <c r="E99" s="25"/>
      <c r="F99" s="28">
        <f t="shared" si="10"/>
        <v>45322</v>
      </c>
      <c r="G99" s="30">
        <f t="shared" si="11"/>
        <v>15053.937862918638</v>
      </c>
      <c r="H99" s="30">
        <f t="shared" si="12"/>
        <v>17734.232902375672</v>
      </c>
      <c r="I99" s="30">
        <f t="shared" si="13"/>
        <v>20713.983623086653</v>
      </c>
      <c r="J99" s="25"/>
      <c r="K99" s="30">
        <f>MAX(G$2:G99)</f>
        <v>16013.037984140386</v>
      </c>
      <c r="L99" s="30">
        <f>MAX(H$2:H99)</f>
        <v>18293.494854370172</v>
      </c>
      <c r="M99" s="30">
        <f>MAX(I$2:I99)</f>
        <v>20752.538729148459</v>
      </c>
      <c r="N99" s="25"/>
      <c r="O99" s="29">
        <f t="shared" si="7"/>
        <v>-5.9894950737746311E-2</v>
      </c>
      <c r="P99" s="29">
        <f t="shared" si="8"/>
        <v>-3.057162977586525E-2</v>
      </c>
      <c r="Q99" s="29">
        <f t="shared" si="9"/>
        <v>-1.8578500955959143E-3</v>
      </c>
    </row>
    <row r="100" spans="1:17" ht="15">
      <c r="A100" s="28">
        <f>Returns!A100</f>
        <v>45379</v>
      </c>
      <c r="B100" s="29">
        <f>Returns!B100*Assumptions!$B$2+Returns!C100*Assumptions!$B$3+Returns!D100*Assumptions!$B$4</f>
        <v>1.7634955481181436E-2</v>
      </c>
      <c r="C100" s="29">
        <f>Returns!B100*Assumptions!$C$2+Returns!C100*Assumptions!$C$3+Returns!D100*Assumptions!$C$4</f>
        <v>2.2786556475520858E-2</v>
      </c>
      <c r="D100" s="29">
        <f>Returns!B100*Assumptions!$D$2+Returns!C100*Assumptions!$D$3+Returns!D100*Assumptions!$D$4</f>
        <v>2.7938157469860284E-2</v>
      </c>
      <c r="E100" s="25"/>
      <c r="F100" s="28">
        <f t="shared" si="10"/>
        <v>45351</v>
      </c>
      <c r="G100" s="30">
        <f t="shared" si="11"/>
        <v>15145.434337396091</v>
      </c>
      <c r="H100" s="30">
        <f t="shared" si="12"/>
        <v>18080.581121264262</v>
      </c>
      <c r="I100" s="30">
        <f t="shared" si="13"/>
        <v>21397.170949132418</v>
      </c>
      <c r="J100" s="25"/>
      <c r="K100" s="30">
        <f>MAX(G$2:G100)</f>
        <v>16013.037984140386</v>
      </c>
      <c r="L100" s="30">
        <f>MAX(H$2:H100)</f>
        <v>18293.494854370172</v>
      </c>
      <c r="M100" s="30">
        <f>MAX(I$2:I100)</f>
        <v>21397.170949132418</v>
      </c>
      <c r="N100" s="25"/>
      <c r="O100" s="29">
        <f t="shared" si="7"/>
        <v>-5.418107716996523E-2</v>
      </c>
      <c r="P100" s="29">
        <f t="shared" si="8"/>
        <v>-1.1638767485429247E-2</v>
      </c>
      <c r="Q100" s="29">
        <f t="shared" si="9"/>
        <v>0</v>
      </c>
    </row>
    <row r="101" spans="1:17" ht="15">
      <c r="A101" s="28">
        <f>Returns!A101</f>
        <v>45412</v>
      </c>
      <c r="B101" s="29">
        <f>Returns!B101*Assumptions!$B$2+Returns!C101*Assumptions!$B$3+Returns!D101*Assumptions!$B$4</f>
        <v>-3.3329299140230847E-2</v>
      </c>
      <c r="C101" s="29">
        <f>Returns!B101*Assumptions!$C$2+Returns!C101*Assumptions!$C$3+Returns!D101*Assumptions!$C$4</f>
        <v>-3.4345187075550329E-2</v>
      </c>
      <c r="D101" s="29">
        <f>Returns!B101*Assumptions!$D$2+Returns!C101*Assumptions!$D$3+Returns!D101*Assumptions!$D$4</f>
        <v>-3.5361075010869797E-2</v>
      </c>
      <c r="E101" s="25"/>
      <c r="F101" s="28">
        <f t="shared" si="10"/>
        <v>45379</v>
      </c>
      <c r="G101" s="30">
        <f t="shared" si="11"/>
        <v>15412.523397679228</v>
      </c>
      <c r="H101" s="30">
        <f t="shared" si="12"/>
        <v>18492.575304094185</v>
      </c>
      <c r="I101" s="30">
        <f t="shared" si="13"/>
        <v>21994.968480518801</v>
      </c>
      <c r="J101" s="25"/>
      <c r="K101" s="30">
        <f>MAX(G$2:G101)</f>
        <v>16013.037984140386</v>
      </c>
      <c r="L101" s="30">
        <f>MAX(H$2:H101)</f>
        <v>18492.575304094185</v>
      </c>
      <c r="M101" s="30">
        <f>MAX(I$2:I101)</f>
        <v>21994.968480518801</v>
      </c>
      <c r="N101" s="25"/>
      <c r="O101" s="29">
        <f t="shared" si="7"/>
        <v>-3.7501602572598602E-2</v>
      </c>
      <c r="P101" s="29">
        <f t="shared" si="8"/>
        <v>0</v>
      </c>
      <c r="Q101" s="29">
        <f t="shared" si="9"/>
        <v>0</v>
      </c>
    </row>
    <row r="102" spans="1:17" ht="15">
      <c r="A102" s="28">
        <f>Returns!A102</f>
        <v>45443</v>
      </c>
      <c r="B102" s="29">
        <f>Returns!B102*Assumptions!$B$2+Returns!C102*Assumptions!$B$3+Returns!D102*Assumptions!$B$4</f>
        <v>3.0039628463919499E-2</v>
      </c>
      <c r="C102" s="29">
        <f>Returns!B102*Assumptions!$C$2+Returns!C102*Assumptions!$C$3+Returns!D102*Assumptions!$C$4</f>
        <v>3.6058697111046922E-2</v>
      </c>
      <c r="D102" s="29">
        <f>Returns!B102*Assumptions!$D$2+Returns!C102*Assumptions!$D$3+Returns!D102*Assumptions!$D$4</f>
        <v>4.2077765758174346E-2</v>
      </c>
      <c r="E102" s="25"/>
      <c r="F102" s="28">
        <f t="shared" si="10"/>
        <v>45412</v>
      </c>
      <c r="G102" s="30">
        <f t="shared" si="11"/>
        <v>14898.83479485217</v>
      </c>
      <c r="H102" s="30">
        <f t="shared" si="12"/>
        <v>17857.444345766369</v>
      </c>
      <c r="I102" s="30">
        <f t="shared" si="13"/>
        <v>21217.202750217457</v>
      </c>
      <c r="J102" s="25"/>
      <c r="K102" s="30">
        <f>MAX(G$2:G102)</f>
        <v>16013.037984140386</v>
      </c>
      <c r="L102" s="30">
        <f>MAX(H$2:H102)</f>
        <v>18492.575304094185</v>
      </c>
      <c r="M102" s="30">
        <f>MAX(I$2:I102)</f>
        <v>21994.968480518801</v>
      </c>
      <c r="N102" s="25"/>
      <c r="O102" s="29">
        <f t="shared" si="7"/>
        <v>-6.9580999582449343E-2</v>
      </c>
      <c r="P102" s="29">
        <f t="shared" si="8"/>
        <v>-3.4345187075550343E-2</v>
      </c>
      <c r="Q102" s="29">
        <f t="shared" si="9"/>
        <v>-3.5361075010869825E-2</v>
      </c>
    </row>
    <row r="103" spans="1:17" ht="15">
      <c r="A103" s="28">
        <f>Returns!A103</f>
        <v>45471</v>
      </c>
      <c r="B103" s="29">
        <f>Returns!B103*Assumptions!$B$2+Returns!C103*Assumptions!$B$3+Returns!D103*Assumptions!$B$4</f>
        <v>1.7502863392716415E-2</v>
      </c>
      <c r="C103" s="29">
        <f>Returns!B103*Assumptions!$C$2+Returns!C103*Assumptions!$C$3+Returns!D103*Assumptions!$C$4</f>
        <v>2.0169266500117418E-2</v>
      </c>
      <c r="D103" s="29">
        <f>Returns!B103*Assumptions!$D$2+Returns!C103*Assumptions!$D$3+Returns!D103*Assumptions!$D$4</f>
        <v>2.2835669607518413E-2</v>
      </c>
      <c r="E103" s="25"/>
      <c r="F103" s="28">
        <f t="shared" si="10"/>
        <v>45443</v>
      </c>
      <c r="G103" s="30">
        <f t="shared" si="11"/>
        <v>15346.390256634844</v>
      </c>
      <c r="H103" s="30">
        <f t="shared" si="12"/>
        <v>18501.360522607734</v>
      </c>
      <c r="I103" s="30">
        <f t="shared" si="13"/>
        <v>22109.9752375848</v>
      </c>
      <c r="J103" s="25"/>
      <c r="K103" s="30">
        <f>MAX(G$2:G103)</f>
        <v>16013.037984140386</v>
      </c>
      <c r="L103" s="30">
        <f>MAX(H$2:H103)</f>
        <v>18501.360522607734</v>
      </c>
      <c r="M103" s="30">
        <f>MAX(I$2:I103)</f>
        <v>22109.9752375848</v>
      </c>
      <c r="N103" s="25"/>
      <c r="O103" s="29">
        <f t="shared" si="7"/>
        <v>-4.1631558494134802E-2</v>
      </c>
      <c r="P103" s="29">
        <f t="shared" si="8"/>
        <v>0</v>
      </c>
      <c r="Q103" s="29">
        <f t="shared" si="9"/>
        <v>0</v>
      </c>
    </row>
    <row r="104" spans="1:17" ht="15">
      <c r="A104" s="28">
        <f>Returns!A104</f>
        <v>45504</v>
      </c>
      <c r="B104" s="29">
        <f>Returns!B104*Assumptions!$B$2+Returns!C104*Assumptions!$B$3+Returns!D104*Assumptions!$B$4</f>
        <v>2.3134572773735228E-2</v>
      </c>
      <c r="C104" s="29">
        <f>Returns!B104*Assumptions!$C$2+Returns!C104*Assumptions!$C$3+Returns!D104*Assumptions!$C$4</f>
        <v>2.0215776377509133E-2</v>
      </c>
      <c r="D104" s="29">
        <f>Returns!B104*Assumptions!$D$2+Returns!C104*Assumptions!$D$3+Returns!D104*Assumptions!$D$4</f>
        <v>1.7296979981283031E-2</v>
      </c>
      <c r="E104" s="25"/>
      <c r="F104" s="28">
        <f t="shared" si="10"/>
        <v>45471</v>
      </c>
      <c r="G104" s="30">
        <f t="shared" si="11"/>
        <v>15614.996028868038</v>
      </c>
      <c r="H104" s="30">
        <f t="shared" si="12"/>
        <v>18874.519393602961</v>
      </c>
      <c r="I104" s="30">
        <f t="shared" si="13"/>
        <v>22614.871327140703</v>
      </c>
      <c r="J104" s="25"/>
      <c r="K104" s="30">
        <f>MAX(G$2:G104)</f>
        <v>16013.037984140386</v>
      </c>
      <c r="L104" s="30">
        <f>MAX(H$2:H104)</f>
        <v>18874.519393602961</v>
      </c>
      <c r="M104" s="30">
        <f>MAX(I$2:I104)</f>
        <v>22614.871327140703</v>
      </c>
      <c r="N104" s="25"/>
      <c r="O104" s="29">
        <f t="shared" si="7"/>
        <v>-2.4857366582567098E-2</v>
      </c>
      <c r="P104" s="29">
        <f t="shared" si="8"/>
        <v>0</v>
      </c>
      <c r="Q104" s="29">
        <f t="shared" si="9"/>
        <v>0</v>
      </c>
    </row>
    <row r="105" spans="1:17" ht="15">
      <c r="A105" s="28">
        <f>Returns!A105</f>
        <v>45534</v>
      </c>
      <c r="B105" s="29">
        <f>Returns!B105*Assumptions!$B$2+Returns!C105*Assumptions!$B$3+Returns!D105*Assumptions!$B$4</f>
        <v>1.7755389922473074E-2</v>
      </c>
      <c r="C105" s="29">
        <f>Returns!B105*Assumptions!$C$2+Returns!C105*Assumptions!$C$3+Returns!D105*Assumptions!$C$4</f>
        <v>1.9904167612243208E-2</v>
      </c>
      <c r="D105" s="29">
        <f>Returns!B105*Assumptions!$D$2+Returns!C105*Assumptions!$D$3+Returns!D105*Assumptions!$D$4</f>
        <v>2.2052945302013339E-2</v>
      </c>
      <c r="E105" s="25"/>
      <c r="F105" s="28">
        <f t="shared" si="10"/>
        <v>45504</v>
      </c>
      <c r="G105" s="30">
        <f t="shared" si="11"/>
        <v>15976.242290859473</v>
      </c>
      <c r="H105" s="30">
        <f t="shared" si="12"/>
        <v>19256.082456896995</v>
      </c>
      <c r="I105" s="30">
        <f t="shared" si="13"/>
        <v>23006.040303765545</v>
      </c>
      <c r="J105" s="25"/>
      <c r="K105" s="30">
        <f>MAX(G$2:G105)</f>
        <v>16013.037984140386</v>
      </c>
      <c r="L105" s="30">
        <f>MAX(H$2:H105)</f>
        <v>19256.082456896995</v>
      </c>
      <c r="M105" s="30">
        <f>MAX(I$2:I105)</f>
        <v>23006.040303765545</v>
      </c>
      <c r="N105" s="25"/>
      <c r="O105" s="29">
        <f t="shared" si="7"/>
        <v>-2.2978583649996276E-3</v>
      </c>
      <c r="P105" s="29">
        <f t="shared" si="8"/>
        <v>0</v>
      </c>
      <c r="Q105" s="29">
        <f t="shared" si="9"/>
        <v>0</v>
      </c>
    </row>
    <row r="106" spans="1:17" ht="15">
      <c r="A106" s="28">
        <f>Returns!A106</f>
        <v>45565</v>
      </c>
      <c r="B106" s="29">
        <f>Returns!B106*Assumptions!$B$2+Returns!C106*Assumptions!$B$3+Returns!D106*Assumptions!$B$4</f>
        <v>1.7326517379280967E-2</v>
      </c>
      <c r="C106" s="29">
        <f>Returns!B106*Assumptions!$C$2+Returns!C106*Assumptions!$C$3+Returns!D106*Assumptions!$C$4</f>
        <v>1.9077413107140909E-2</v>
      </c>
      <c r="D106" s="29">
        <f>Returns!B106*Assumptions!$D$2+Returns!C106*Assumptions!$D$3+Returns!D106*Assumptions!$D$4</f>
        <v>2.082830883500084E-2</v>
      </c>
      <c r="E106" s="25"/>
      <c r="F106" s="28">
        <f t="shared" si="10"/>
        <v>45534</v>
      </c>
      <c r="G106" s="30">
        <f t="shared" si="11"/>
        <v>16259.906702229588</v>
      </c>
      <c r="H106" s="30">
        <f t="shared" si="12"/>
        <v>19639.358749674248</v>
      </c>
      <c r="I106" s="30">
        <f t="shared" si="13"/>
        <v>23513.391252200399</v>
      </c>
      <c r="J106" s="25"/>
      <c r="K106" s="30">
        <f>MAX(G$2:G106)</f>
        <v>16259.906702229588</v>
      </c>
      <c r="L106" s="30">
        <f>MAX(H$2:H106)</f>
        <v>19639.358749674248</v>
      </c>
      <c r="M106" s="30">
        <f>MAX(I$2:I106)</f>
        <v>23513.391252200399</v>
      </c>
      <c r="N106" s="25"/>
      <c r="O106" s="29">
        <f t="shared" si="7"/>
        <v>0</v>
      </c>
      <c r="P106" s="29">
        <f t="shared" si="8"/>
        <v>0</v>
      </c>
      <c r="Q106" s="29">
        <f t="shared" si="9"/>
        <v>0</v>
      </c>
    </row>
    <row r="107" spans="1:17" ht="15">
      <c r="A107" s="28">
        <f>Returns!A107</f>
        <v>45596</v>
      </c>
      <c r="B107" s="29">
        <f>Returns!B107*Assumptions!$B$2+Returns!C107*Assumptions!$B$3+Returns!D107*Assumptions!$B$4</f>
        <v>-2.772861259391167E-2</v>
      </c>
      <c r="C107" s="29">
        <f>Returns!B107*Assumptions!$C$2+Returns!C107*Assumptions!$C$3+Returns!D107*Assumptions!$C$4</f>
        <v>-2.4656102265270638E-2</v>
      </c>
      <c r="D107" s="29">
        <f>Returns!B107*Assumptions!$D$2+Returns!C107*Assumptions!$D$3+Returns!D107*Assumptions!$D$4</f>
        <v>-2.1583591936629599E-2</v>
      </c>
      <c r="E107" s="25"/>
      <c r="F107" s="28">
        <f t="shared" si="10"/>
        <v>45565</v>
      </c>
      <c r="G107" s="30">
        <f t="shared" si="11"/>
        <v>16541.634258291255</v>
      </c>
      <c r="H107" s="30">
        <f t="shared" si="12"/>
        <v>20014.026909701126</v>
      </c>
      <c r="I107" s="30">
        <f t="shared" si="13"/>
        <v>24003.135426959434</v>
      </c>
      <c r="J107" s="25"/>
      <c r="K107" s="30">
        <f>MAX(G$2:G107)</f>
        <v>16541.634258291255</v>
      </c>
      <c r="L107" s="30">
        <f>MAX(H$2:H107)</f>
        <v>20014.026909701126</v>
      </c>
      <c r="M107" s="30">
        <f>MAX(I$2:I107)</f>
        <v>24003.135426959434</v>
      </c>
      <c r="N107" s="25"/>
      <c r="O107" s="29">
        <f t="shared" si="7"/>
        <v>0</v>
      </c>
      <c r="P107" s="29">
        <f t="shared" si="8"/>
        <v>0</v>
      </c>
      <c r="Q107" s="29">
        <f t="shared" si="9"/>
        <v>0</v>
      </c>
    </row>
    <row r="108" spans="1:17" ht="15">
      <c r="A108" s="28">
        <f>Returns!A108</f>
        <v>45625</v>
      </c>
      <c r="B108" s="29">
        <f>Returns!B108*Assumptions!$B$2+Returns!C108*Assumptions!$B$3+Returns!D108*Assumptions!$B$4</f>
        <v>2.3574921963477394E-2</v>
      </c>
      <c r="C108" s="29">
        <f>Returns!B108*Assumptions!$C$2+Returns!C108*Assumptions!$C$3+Returns!D108*Assumptions!$C$4</f>
        <v>3.0257833103654805E-2</v>
      </c>
      <c r="D108" s="29">
        <f>Returns!B108*Assumptions!$D$2+Returns!C108*Assumptions!$D$3+Returns!D108*Assumptions!$D$4</f>
        <v>3.694074424383223E-2</v>
      </c>
      <c r="E108" s="25"/>
      <c r="F108" s="28">
        <f t="shared" si="10"/>
        <v>45596</v>
      </c>
      <c r="G108" s="30">
        <f t="shared" si="11"/>
        <v>16082.957690272919</v>
      </c>
      <c r="H108" s="30">
        <f t="shared" si="12"/>
        <v>19520.559015475657</v>
      </c>
      <c r="I108" s="30">
        <f t="shared" si="13"/>
        <v>23485.061546704284</v>
      </c>
      <c r="J108" s="25"/>
      <c r="K108" s="30">
        <f>MAX(G$2:G108)</f>
        <v>16541.634258291255</v>
      </c>
      <c r="L108" s="30">
        <f>MAX(H$2:H108)</f>
        <v>20014.026909701126</v>
      </c>
      <c r="M108" s="30">
        <f>MAX(I$2:I108)</f>
        <v>24003.135426959434</v>
      </c>
      <c r="N108" s="25"/>
      <c r="O108" s="29">
        <f t="shared" si="7"/>
        <v>-2.7728612593911683E-2</v>
      </c>
      <c r="P108" s="29">
        <f t="shared" si="8"/>
        <v>-2.4656102265270596E-2</v>
      </c>
      <c r="Q108" s="29">
        <f t="shared" si="9"/>
        <v>-2.158359193662962E-2</v>
      </c>
    </row>
    <row r="109" spans="1:17" ht="15">
      <c r="A109" s="28">
        <f>Returns!A109</f>
        <v>45657</v>
      </c>
      <c r="B109" s="29">
        <f>Returns!B109*Assumptions!$B$2+Returns!C109*Assumptions!$B$3+Returns!D109*Assumptions!$B$4</f>
        <v>-2.3322715766254297E-2</v>
      </c>
      <c r="C109" s="29">
        <f>Returns!B109*Assumptions!$C$2+Returns!C109*Assumptions!$C$3+Returns!D109*Assumptions!$C$4</f>
        <v>-2.3692181823666454E-2</v>
      </c>
      <c r="D109" s="29">
        <f>Returns!B109*Assumptions!$D$2+Returns!C109*Assumptions!$D$3+Returns!D109*Assumptions!$D$4</f>
        <v>-2.4061647881078608E-2</v>
      </c>
      <c r="E109" s="25"/>
      <c r="F109" s="28">
        <f t="shared" si="10"/>
        <v>45625</v>
      </c>
      <c r="G109" s="30">
        <f t="shared" si="11"/>
        <v>16462.112162763009</v>
      </c>
      <c r="H109" s="30">
        <f t="shared" si="12"/>
        <v>20111.208832255961</v>
      </c>
      <c r="I109" s="30">
        <f t="shared" si="13"/>
        <v>24352.617198851749</v>
      </c>
      <c r="J109" s="25"/>
      <c r="K109" s="30">
        <f>MAX(G$2:G109)</f>
        <v>16541.634258291255</v>
      </c>
      <c r="L109" s="30">
        <f>MAX(H$2:H109)</f>
        <v>20111.208832255961</v>
      </c>
      <c r="M109" s="30">
        <f>MAX(I$2:I109)</f>
        <v>24352.617198851749</v>
      </c>
      <c r="N109" s="25"/>
      <c r="O109" s="29">
        <f t="shared" si="7"/>
        <v>-4.8073905084914381E-3</v>
      </c>
      <c r="P109" s="29">
        <f t="shared" si="8"/>
        <v>0</v>
      </c>
      <c r="Q109" s="29">
        <f t="shared" si="9"/>
        <v>0</v>
      </c>
    </row>
    <row r="110" spans="1:17" ht="15">
      <c r="A110" s="28">
        <f>Returns!A110</f>
        <v>45688</v>
      </c>
      <c r="B110" s="29">
        <f>Returns!B110*Assumptions!$B$2+Returns!C110*Assumptions!$B$3+Returns!D110*Assumptions!$B$4</f>
        <v>1.5259958884230063E-2</v>
      </c>
      <c r="C110" s="29">
        <f>Returns!B110*Assumptions!$C$2+Returns!C110*Assumptions!$C$3+Returns!D110*Assumptions!$C$4</f>
        <v>1.9807175780711873E-2</v>
      </c>
      <c r="D110" s="29">
        <f>Returns!B110*Assumptions!$D$2+Returns!C110*Assumptions!$D$3+Returns!D110*Assumptions!$D$4</f>
        <v>2.4354392677193682E-2</v>
      </c>
      <c r="E110" s="25"/>
      <c r="F110" s="28">
        <f t="shared" si="10"/>
        <v>45657</v>
      </c>
      <c r="G110" s="30">
        <f t="shared" si="11"/>
        <v>16078.170999878688</v>
      </c>
      <c r="H110" s="30">
        <f t="shared" si="12"/>
        <v>19634.730415908427</v>
      </c>
      <c r="I110" s="30">
        <f t="shared" si="13"/>
        <v>23766.65309883028</v>
      </c>
      <c r="J110" s="25"/>
      <c r="K110" s="30">
        <f>MAX(G$2:G110)</f>
        <v>16541.634258291255</v>
      </c>
      <c r="L110" s="30">
        <f>MAX(H$2:H110)</f>
        <v>20111.208832255961</v>
      </c>
      <c r="M110" s="30">
        <f>MAX(I$2:I110)</f>
        <v>24352.617198851749</v>
      </c>
      <c r="N110" s="25"/>
      <c r="O110" s="29">
        <f t="shared" si="7"/>
        <v>-2.8017984872338864E-2</v>
      </c>
      <c r="P110" s="29">
        <f t="shared" si="8"/>
        <v>-2.3692181823666392E-2</v>
      </c>
      <c r="Q110" s="29">
        <f t="shared" si="9"/>
        <v>-2.4061647881078563E-2</v>
      </c>
    </row>
    <row r="111" spans="1:17" ht="15">
      <c r="A111" s="28">
        <f>Returns!A111</f>
        <v>45716</v>
      </c>
      <c r="B111" s="29">
        <f>Returns!B111*Assumptions!$B$2+Returns!C111*Assumptions!$B$3+Returns!D111*Assumptions!$B$4</f>
        <v>1.4874298957158793E-2</v>
      </c>
      <c r="C111" s="29">
        <f>Returns!B111*Assumptions!$C$2+Returns!C111*Assumptions!$C$3+Returns!D111*Assumptions!$C$4</f>
        <v>8.3129126808444542E-3</v>
      </c>
      <c r="D111" s="29">
        <f>Returns!B111*Assumptions!$D$2+Returns!C111*Assumptions!$D$3+Returns!D111*Assumptions!$D$4</f>
        <v>1.7515264045301136E-3</v>
      </c>
      <c r="E111" s="25"/>
      <c r="F111" s="28">
        <f t="shared" si="10"/>
        <v>45688</v>
      </c>
      <c r="G111" s="30">
        <f t="shared" si="11"/>
        <v>16323.523228270458</v>
      </c>
      <c r="H111" s="30">
        <f t="shared" si="12"/>
        <v>20023.638972663215</v>
      </c>
      <c r="I111" s="30">
        <f t="shared" si="13"/>
        <v>24345.475501021832</v>
      </c>
      <c r="J111" s="25"/>
      <c r="K111" s="30">
        <f>MAX(G$2:G111)</f>
        <v>16541.634258291255</v>
      </c>
      <c r="L111" s="30">
        <f>MAX(H$2:H111)</f>
        <v>20111.208832255961</v>
      </c>
      <c r="M111" s="30">
        <f>MAX(I$2:I111)</f>
        <v>24352.617198851749</v>
      </c>
      <c r="N111" s="25"/>
      <c r="O111" s="29">
        <f t="shared" si="7"/>
        <v>-1.3185579285279636E-2</v>
      </c>
      <c r="P111" s="29">
        <f t="shared" si="8"/>
        <v>-4.3542812529644426E-3</v>
      </c>
      <c r="Q111" s="29">
        <f t="shared" si="9"/>
        <v>-2.932620248411455E-4</v>
      </c>
    </row>
    <row r="112" spans="1:17" ht="15">
      <c r="A112" s="28">
        <f>Returns!A112</f>
        <v>45747</v>
      </c>
      <c r="B112" s="29">
        <f>Returns!B112*Assumptions!$B$2+Returns!C112*Assumptions!$B$3+Returns!D112*Assumptions!$B$4</f>
        <v>-1.4526920009382834E-2</v>
      </c>
      <c r="C112" s="29">
        <f>Returns!B112*Assumptions!$C$2+Returns!C112*Assumptions!$C$3+Returns!D112*Assumptions!$C$4</f>
        <v>-2.3500044331913848E-2</v>
      </c>
      <c r="D112" s="29">
        <f>Returns!B112*Assumptions!$D$2+Returns!C112*Assumptions!$D$3+Returns!D112*Assumptions!$D$4</f>
        <v>-3.2473168654444842E-2</v>
      </c>
      <c r="E112" s="25"/>
      <c r="F112" s="28">
        <f t="shared" si="10"/>
        <v>45716</v>
      </c>
      <c r="G112" s="30">
        <f t="shared" si="11"/>
        <v>16566.32419280188</v>
      </c>
      <c r="H112" s="30">
        <f t="shared" si="12"/>
        <v>20190.09373499572</v>
      </c>
      <c r="I112" s="30">
        <f t="shared" si="13"/>
        <v>24388.117244192712</v>
      </c>
      <c r="J112" s="25"/>
      <c r="K112" s="30">
        <f>MAX(G$2:G112)</f>
        <v>16566.32419280188</v>
      </c>
      <c r="L112" s="30">
        <f>MAX(H$2:H112)</f>
        <v>20190.09373499572</v>
      </c>
      <c r="M112" s="30">
        <f>MAX(I$2:I112)</f>
        <v>24388.117244192712</v>
      </c>
      <c r="N112" s="25"/>
      <c r="O112" s="29">
        <f t="shared" si="7"/>
        <v>0</v>
      </c>
      <c r="P112" s="29">
        <f t="shared" si="8"/>
        <v>0</v>
      </c>
      <c r="Q112" s="29">
        <f t="shared" si="9"/>
        <v>0</v>
      </c>
    </row>
    <row r="113" spans="1:17" ht="15">
      <c r="A113" s="28">
        <f>Returns!A113</f>
        <v>45777</v>
      </c>
      <c r="B113" s="29">
        <f>Returns!B113*Assumptions!$B$2+Returns!C113*Assumptions!$B$3+Returns!D113*Assumptions!$B$4</f>
        <v>7.2843323607390108E-3</v>
      </c>
      <c r="C113" s="29">
        <f>Returns!B113*Assumptions!$C$2+Returns!C113*Assumptions!$C$3+Returns!D113*Assumptions!$C$4</f>
        <v>5.6458248488445873E-3</v>
      </c>
      <c r="D113" s="29">
        <f>Returns!B113*Assumptions!$D$2+Returns!C113*Assumptions!$D$3+Returns!D113*Assumptions!$D$4</f>
        <v>4.0073173369501681E-3</v>
      </c>
      <c r="E113" s="25"/>
      <c r="F113" s="28">
        <f t="shared" si="10"/>
        <v>45747</v>
      </c>
      <c r="G113" s="30">
        <f t="shared" si="11"/>
        <v>16325.666526403544</v>
      </c>
      <c r="H113" s="30">
        <f t="shared" si="12"/>
        <v>19715.625637157824</v>
      </c>
      <c r="I113" s="30">
        <f t="shared" si="13"/>
        <v>23596.157799757668</v>
      </c>
      <c r="J113" s="25"/>
      <c r="K113" s="30">
        <f>MAX(G$2:G113)</f>
        <v>16566.32419280188</v>
      </c>
      <c r="L113" s="30">
        <f>MAX(H$2:H113)</f>
        <v>20190.09373499572</v>
      </c>
      <c r="M113" s="30">
        <f>MAX(I$2:I113)</f>
        <v>24388.117244192712</v>
      </c>
      <c r="N113" s="25"/>
      <c r="O113" s="29">
        <f t="shared" si="7"/>
        <v>-1.4526920009382827E-2</v>
      </c>
      <c r="P113" s="29">
        <f t="shared" si="8"/>
        <v>-2.3500044331913883E-2</v>
      </c>
      <c r="Q113" s="29">
        <f t="shared" si="9"/>
        <v>-3.2473168654444828E-2</v>
      </c>
    </row>
    <row r="114" spans="1:17" ht="15">
      <c r="A114" s="28">
        <f>Returns!A114</f>
        <v>45807</v>
      </c>
      <c r="B114" s="29">
        <f>Returns!B114*Assumptions!$B$2+Returns!C114*Assumptions!$B$3+Returns!D114*Assumptions!$B$4</f>
        <v>1.5768928915130223E-2</v>
      </c>
      <c r="C114" s="29">
        <f>Returns!B114*Assumptions!$C$2+Returns!C114*Assumptions!$C$3+Returns!D114*Assumptions!$C$4</f>
        <v>2.9851395008719077E-2</v>
      </c>
      <c r="D114" s="29">
        <f>Returns!B114*Assumptions!$D$2+Returns!C114*Assumptions!$D$3+Returns!D114*Assumptions!$D$4</f>
        <v>4.3933861102307924E-2</v>
      </c>
      <c r="E114" s="25"/>
      <c r="F114" s="28">
        <f t="shared" si="10"/>
        <v>45777</v>
      </c>
      <c r="G114" s="30">
        <f t="shared" si="11"/>
        <v>16444.588107392457</v>
      </c>
      <c r="H114" s="30">
        <f t="shared" si="12"/>
        <v>19826.936606290608</v>
      </c>
      <c r="I114" s="30">
        <f t="shared" si="13"/>
        <v>23690.715091994047</v>
      </c>
      <c r="J114" s="25"/>
      <c r="K114" s="30">
        <f>MAX(G$2:G114)</f>
        <v>16566.32419280188</v>
      </c>
      <c r="L114" s="30">
        <f>MAX(H$2:H114)</f>
        <v>20190.09373499572</v>
      </c>
      <c r="M114" s="30">
        <f>MAX(I$2:I114)</f>
        <v>24388.117244192712</v>
      </c>
      <c r="N114" s="25"/>
      <c r="O114" s="29">
        <f t="shared" si="7"/>
        <v>-7.3484065621700623E-3</v>
      </c>
      <c r="P114" s="29">
        <f t="shared" si="8"/>
        <v>-1.7986896617307346E-2</v>
      </c>
      <c r="Q114" s="29">
        <f t="shared" si="9"/>
        <v>-2.8595981609229382E-2</v>
      </c>
    </row>
    <row r="115" spans="1:17" ht="15">
      <c r="A115" s="28">
        <f>Returns!A115</f>
        <v>45838</v>
      </c>
      <c r="B115" s="29">
        <f>Returns!B115*Assumptions!$B$2+Returns!C115*Assumptions!$B$3+Returns!D115*Assumptions!$B$4</f>
        <v>2.9270217840753586E-2</v>
      </c>
      <c r="C115" s="29">
        <f>Returns!B115*Assumptions!$C$2+Returns!C115*Assumptions!$C$3+Returns!D115*Assumptions!$C$4</f>
        <v>3.5895565895274685E-2</v>
      </c>
      <c r="D115" s="29">
        <f>Returns!B115*Assumptions!$D$2+Returns!C115*Assumptions!$D$3+Returns!D115*Assumptions!$D$4</f>
        <v>4.2520913949795784E-2</v>
      </c>
      <c r="E115" s="25"/>
      <c r="F115" s="28">
        <f t="shared" si="10"/>
        <v>45807</v>
      </c>
      <c r="G115" s="30">
        <f t="shared" si="11"/>
        <v>16703.901648296523</v>
      </c>
      <c r="H115" s="30">
        <f t="shared" si="12"/>
        <v>20418.798322737821</v>
      </c>
      <c r="I115" s="30">
        <f t="shared" si="13"/>
        <v>24731.539678260062</v>
      </c>
      <c r="J115" s="25"/>
      <c r="K115" s="30">
        <f>MAX(G$2:G115)</f>
        <v>16703.901648296523</v>
      </c>
      <c r="L115" s="30">
        <f>MAX(H$2:H115)</f>
        <v>20418.798322737821</v>
      </c>
      <c r="M115" s="30">
        <f>MAX(I$2:I115)</f>
        <v>24731.539678260062</v>
      </c>
      <c r="N115" s="25"/>
      <c r="O115" s="29">
        <f t="shared" si="7"/>
        <v>0</v>
      </c>
      <c r="P115" s="29">
        <f t="shared" si="8"/>
        <v>0</v>
      </c>
      <c r="Q115" s="29">
        <f t="shared" si="9"/>
        <v>0</v>
      </c>
    </row>
    <row r="116" spans="1:17" ht="15">
      <c r="A116" s="28">
        <f>Returns!A116</f>
        <v>45869</v>
      </c>
      <c r="B116" s="29">
        <f>Returns!B116*Assumptions!$B$2+Returns!C116*Assumptions!$B$3+Returns!D116*Assumptions!$B$4</f>
        <v>2.3598574210167197E-3</v>
      </c>
      <c r="C116" s="29">
        <f>Returns!B116*Assumptions!$C$2+Returns!C116*Assumptions!$C$3+Returns!D116*Assumptions!$C$4</f>
        <v>6.5095559844280055E-3</v>
      </c>
      <c r="D116" s="29">
        <f>Returns!B116*Assumptions!$D$2+Returns!C116*Assumptions!$D$3+Returns!D116*Assumptions!$D$4</f>
        <v>1.0659254547839291E-2</v>
      </c>
      <c r="E116" s="25"/>
      <c r="F116" s="28">
        <f t="shared" si="10"/>
        <v>45838</v>
      </c>
      <c r="G116" s="30">
        <f t="shared" si="11"/>
        <v>17192.828488332685</v>
      </c>
      <c r="H116" s="30">
        <f t="shared" si="12"/>
        <v>21151.74264343398</v>
      </c>
      <c r="I116" s="30">
        <f t="shared" si="13"/>
        <v>25783.147348765317</v>
      </c>
      <c r="J116" s="25"/>
      <c r="K116" s="30">
        <f>MAX(G$2:G116)</f>
        <v>17192.828488332685</v>
      </c>
      <c r="L116" s="30">
        <f>MAX(H$2:H116)</f>
        <v>21151.74264343398</v>
      </c>
      <c r="M116" s="30">
        <f>MAX(I$2:I116)</f>
        <v>25783.147348765317</v>
      </c>
      <c r="N116" s="25"/>
      <c r="O116" s="29">
        <f t="shared" si="7"/>
        <v>0</v>
      </c>
      <c r="P116" s="29">
        <f t="shared" si="8"/>
        <v>0</v>
      </c>
      <c r="Q116" s="29">
        <f t="shared" si="9"/>
        <v>0</v>
      </c>
    </row>
    <row r="117" spans="1:17" ht="15">
      <c r="A117" s="28">
        <f>Returns!A117</f>
        <v>45898</v>
      </c>
      <c r="B117" s="29">
        <f>Returns!B117*Assumptions!$B$2+Returns!C117*Assumptions!$B$3+Returns!D117*Assumptions!$B$4</f>
        <v>2.03653946405171E-2</v>
      </c>
      <c r="C117" s="29">
        <f>Returns!B117*Assumptions!$C$2+Returns!C117*Assumptions!$C$3+Returns!D117*Assumptions!$C$4</f>
        <v>2.2307208835497496E-2</v>
      </c>
      <c r="D117" s="29">
        <f>Returns!B117*Assumptions!$D$2+Returns!C117*Assumptions!$D$3+Returns!D117*Assumptions!$D$4</f>
        <v>2.4249023030477893E-2</v>
      </c>
      <c r="E117" s="25"/>
      <c r="F117" s="28">
        <f t="shared" si="10"/>
        <v>45869</v>
      </c>
      <c r="G117" s="30">
        <f t="shared" si="11"/>
        <v>17233.401112229145</v>
      </c>
      <c r="H117" s="30">
        <f t="shared" si="12"/>
        <v>21289.431096339624</v>
      </c>
      <c r="I117" s="30">
        <f t="shared" si="13"/>
        <v>26057.976479400251</v>
      </c>
      <c r="J117" s="25"/>
      <c r="K117" s="30">
        <f>MAX(G$2:G117)</f>
        <v>17233.401112229145</v>
      </c>
      <c r="L117" s="30">
        <f>MAX(H$2:H117)</f>
        <v>21289.431096339624</v>
      </c>
      <c r="M117" s="30">
        <f>MAX(I$2:I117)</f>
        <v>26057.976479400251</v>
      </c>
      <c r="N117" s="25"/>
      <c r="O117" s="29">
        <f t="shared" si="7"/>
        <v>0</v>
      </c>
      <c r="P117" s="29">
        <f t="shared" si="8"/>
        <v>0</v>
      </c>
      <c r="Q117" s="29">
        <f t="shared" si="9"/>
        <v>0</v>
      </c>
    </row>
    <row r="118" spans="1:17" ht="15">
      <c r="A118" s="28">
        <f>Returns!A118</f>
        <v>45930</v>
      </c>
      <c r="B118" s="29">
        <f>Returns!B118*Assumptions!$B$2+Returns!C118*Assumptions!$B$3+Returns!D118*Assumptions!$B$4</f>
        <v>1.799269306001787E-2</v>
      </c>
      <c r="C118" s="29">
        <f>Returns!B118*Assumptions!$C$2+Returns!C118*Assumptions!$C$3+Returns!D118*Assumptions!$C$4</f>
        <v>2.3733519989592677E-2</v>
      </c>
      <c r="D118" s="29">
        <f>Returns!B118*Assumptions!$D$2+Returns!C118*Assumptions!$D$3+Returns!D118*Assumptions!$D$4</f>
        <v>2.947434691916748E-2</v>
      </c>
      <c r="E118" s="25"/>
      <c r="F118" s="28">
        <f t="shared" si="10"/>
        <v>45898</v>
      </c>
      <c r="G118" s="30">
        <f t="shared" si="11"/>
        <v>17584.36612687802</v>
      </c>
      <c r="H118" s="30">
        <f t="shared" si="12"/>
        <v>21764.338881794603</v>
      </c>
      <c r="I118" s="30">
        <f t="shared" si="13"/>
        <v>26689.85695117688</v>
      </c>
      <c r="J118" s="25"/>
      <c r="K118" s="30">
        <f>MAX(G$2:G118)</f>
        <v>17584.36612687802</v>
      </c>
      <c r="L118" s="30">
        <f>MAX(H$2:H118)</f>
        <v>21764.338881794603</v>
      </c>
      <c r="M118" s="30">
        <f>MAX(I$2:I118)</f>
        <v>26689.85695117688</v>
      </c>
      <c r="N118" s="25"/>
      <c r="O118" s="29">
        <f t="shared" si="7"/>
        <v>0</v>
      </c>
      <c r="P118" s="29">
        <f t="shared" si="8"/>
        <v>0</v>
      </c>
      <c r="Q118" s="29">
        <f t="shared" si="9"/>
        <v>0</v>
      </c>
    </row>
    <row r="119" spans="1:17" ht="15">
      <c r="A119" s="28">
        <f>Returns!A119</f>
        <v>45961</v>
      </c>
      <c r="B119" s="29">
        <f>Returns!B119*Assumptions!$B$2+Returns!C119*Assumptions!$B$3+Returns!D119*Assumptions!$B$4</f>
        <v>1.306696576955777E-2</v>
      </c>
      <c r="C119" s="29">
        <f>Returns!B119*Assumptions!$C$2+Returns!C119*Assumptions!$C$3+Returns!D119*Assumptions!$C$4</f>
        <v>1.6044040845888528E-2</v>
      </c>
      <c r="D119" s="29">
        <f>Returns!B119*Assumptions!$D$2+Returns!C119*Assumptions!$D$3+Returns!D119*Assumptions!$D$4</f>
        <v>1.9021115922219289E-2</v>
      </c>
      <c r="E119" s="25"/>
      <c r="F119" s="28">
        <f t="shared" si="10"/>
        <v>45930</v>
      </c>
      <c r="G119" s="30">
        <f t="shared" si="11"/>
        <v>17900.756229253911</v>
      </c>
      <c r="H119" s="30">
        <f t="shared" si="12"/>
        <v>22280.883253705946</v>
      </c>
      <c r="I119" s="30">
        <f t="shared" si="13"/>
        <v>27476.523054178819</v>
      </c>
      <c r="J119" s="25"/>
      <c r="K119" s="30">
        <f>MAX(G$2:G119)</f>
        <v>17900.756229253911</v>
      </c>
      <c r="L119" s="30">
        <f>MAX(H$2:H119)</f>
        <v>22280.883253705946</v>
      </c>
      <c r="M119" s="30">
        <f>MAX(I$2:I119)</f>
        <v>27476.523054178819</v>
      </c>
      <c r="N119" s="25"/>
      <c r="O119" s="29">
        <f t="shared" si="7"/>
        <v>0</v>
      </c>
      <c r="P119" s="29">
        <f t="shared" si="8"/>
        <v>0</v>
      </c>
      <c r="Q119" s="29">
        <f t="shared" si="9"/>
        <v>0</v>
      </c>
    </row>
    <row r="120" spans="1:17" ht="15">
      <c r="A120" s="28">
        <f>Returns!A120</f>
        <v>45989</v>
      </c>
      <c r="B120" s="29">
        <f>Returns!B120*Assumptions!$B$2+Returns!C120*Assumptions!$B$3+Returns!D120*Assumptions!$B$4</f>
        <v>7.0204419711823E-3</v>
      </c>
      <c r="C120" s="29">
        <f>Returns!B120*Assumptions!$C$2+Returns!C120*Assumptions!$C$3+Returns!D120*Assumptions!$C$4</f>
        <v>5.5900025898269375E-3</v>
      </c>
      <c r="D120" s="29">
        <f>Returns!B120*Assumptions!$D$2+Returns!C120*Assumptions!$D$3+Returns!D120*Assumptions!$D$4</f>
        <v>4.1595632084715731E-3</v>
      </c>
      <c r="E120" s="25"/>
      <c r="F120" s="28">
        <f t="shared" si="10"/>
        <v>45961</v>
      </c>
      <c r="G120" s="30">
        <f t="shared" si="11"/>
        <v>18134.66479815077</v>
      </c>
      <c r="H120" s="30">
        <f t="shared" si="12"/>
        <v>22638.358654710879</v>
      </c>
      <c r="I120" s="30">
        <f t="shared" si="13"/>
        <v>27999.157184331885</v>
      </c>
      <c r="J120" s="25"/>
      <c r="K120" s="30">
        <f>MAX(G$2:G120)</f>
        <v>18134.66479815077</v>
      </c>
      <c r="L120" s="30">
        <f>MAX(H$2:H120)</f>
        <v>22638.358654710879</v>
      </c>
      <c r="M120" s="30">
        <f>MAX(I$2:I120)</f>
        <v>27999.157184331885</v>
      </c>
      <c r="N120" s="25"/>
      <c r="O120" s="29">
        <f t="shared" si="7"/>
        <v>0</v>
      </c>
      <c r="P120" s="29">
        <f t="shared" si="8"/>
        <v>0</v>
      </c>
      <c r="Q120" s="29">
        <f t="shared" si="9"/>
        <v>0</v>
      </c>
    </row>
    <row r="121" spans="1:17" ht="15">
      <c r="A121" s="28">
        <f>Returns!A121</f>
        <v>46022</v>
      </c>
      <c r="B121" s="29">
        <f>Returns!B121*Assumptions!$B$2+Returns!C121*Assumptions!$B$3+Returns!D121*Assumptions!$B$4</f>
        <v>-2.0172852670007121E-3</v>
      </c>
      <c r="C121" s="29">
        <f>Returns!B121*Assumptions!$C$2+Returns!C121*Assumptions!$C$3+Returns!D121*Assumptions!$C$4</f>
        <v>7.800556297337443E-4</v>
      </c>
      <c r="D121" s="29">
        <f>Returns!B121*Assumptions!$D$2+Returns!C121*Assumptions!$D$3+Returns!D121*Assumptions!$D$4</f>
        <v>3.5773965264682024E-3</v>
      </c>
      <c r="E121" s="25"/>
      <c r="F121" s="28">
        <f t="shared" si="10"/>
        <v>45989</v>
      </c>
      <c r="G121" s="30">
        <f t="shared" si="11"/>
        <v>18261.978160033032</v>
      </c>
      <c r="H121" s="30">
        <f t="shared" si="12"/>
        <v>22764.907138220144</v>
      </c>
      <c r="I121" s="30">
        <f t="shared" si="13"/>
        <v>28115.621448424048</v>
      </c>
      <c r="J121" s="25"/>
      <c r="K121" s="30">
        <f>MAX(G$2:G121)</f>
        <v>18261.978160033032</v>
      </c>
      <c r="L121" s="30">
        <f>MAX(H$2:H121)</f>
        <v>22764.907138220144</v>
      </c>
      <c r="M121" s="30">
        <f>MAX(I$2:I121)</f>
        <v>28115.621448424048</v>
      </c>
      <c r="N121" s="25"/>
      <c r="O121" s="29">
        <f t="shared" si="7"/>
        <v>0</v>
      </c>
      <c r="P121" s="29">
        <f t="shared" si="8"/>
        <v>0</v>
      </c>
      <c r="Q121" s="29">
        <f t="shared" si="9"/>
        <v>0</v>
      </c>
    </row>
    <row r="122" spans="1:17" ht="15">
      <c r="A122" s="28"/>
      <c r="B122" s="25"/>
      <c r="C122" s="25"/>
      <c r="D122" s="25"/>
      <c r="E122" s="25"/>
      <c r="F122" s="28">
        <f t="shared" si="10"/>
        <v>46022</v>
      </c>
      <c r="G122" s="30">
        <f t="shared" si="11"/>
        <v>18225.138540544507</v>
      </c>
      <c r="H122" s="30">
        <f t="shared" si="12"/>
        <v>22782.665032193676</v>
      </c>
      <c r="I122" s="30">
        <f t="shared" si="13"/>
        <v>28216.202174933136</v>
      </c>
      <c r="J122" s="25"/>
      <c r="K122" s="30">
        <f>MAX(G$2:G122)</f>
        <v>18261.978160033032</v>
      </c>
      <c r="L122" s="30">
        <f>MAX(H$2:H122)</f>
        <v>22782.665032193676</v>
      </c>
      <c r="M122" s="30">
        <f>MAX(I$2:I122)</f>
        <v>28216.202174933136</v>
      </c>
      <c r="N122" s="25"/>
      <c r="O122" s="29">
        <f t="shared" si="7"/>
        <v>-2.0172852670007346E-3</v>
      </c>
      <c r="P122" s="29">
        <f t="shared" si="8"/>
        <v>0</v>
      </c>
      <c r="Q122" s="29">
        <f t="shared" si="9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F9CD8-FAEF-4223-B7B8-C9487EEBDB55}">
  <dimension ref="A1:H26"/>
  <sheetViews>
    <sheetView workbookViewId="0">
      <selection activeCell="A25" sqref="A25:H26"/>
    </sheetView>
  </sheetViews>
  <sheetFormatPr defaultRowHeight="13.5"/>
  <cols>
    <col min="1" max="1" width="37.375" bestFit="1" customWidth="1"/>
    <col min="2" max="2" width="13.125" bestFit="1" customWidth="1"/>
    <col min="3" max="4" width="10" bestFit="1" customWidth="1"/>
  </cols>
  <sheetData>
    <row r="1" spans="1:4" ht="15">
      <c r="A1" s="1" t="s">
        <v>38</v>
      </c>
      <c r="B1" s="1" t="s">
        <v>1</v>
      </c>
      <c r="C1" s="1" t="s">
        <v>2</v>
      </c>
      <c r="D1" s="1" t="s">
        <v>3</v>
      </c>
    </row>
    <row r="2" spans="1:4" ht="15">
      <c r="A2" s="1" t="s">
        <v>12</v>
      </c>
      <c r="B2" s="30">
        <f>Portfolio!G2</f>
        <v>10000</v>
      </c>
      <c r="C2" s="30">
        <f>Portfolio!H2</f>
        <v>10000</v>
      </c>
      <c r="D2" s="30">
        <f>Portfolio!I2</f>
        <v>10000</v>
      </c>
    </row>
    <row r="3" spans="1:4" ht="15">
      <c r="A3" s="1" t="s">
        <v>39</v>
      </c>
      <c r="B3" s="30">
        <f>Portfolio!G122</f>
        <v>18225.138540544507</v>
      </c>
      <c r="C3" s="30">
        <f>Portfolio!H122</f>
        <v>22782.665032193676</v>
      </c>
      <c r="D3" s="30">
        <f>Portfolio!I122</f>
        <v>28216.202174933136</v>
      </c>
    </row>
    <row r="4" spans="1:4" ht="15">
      <c r="A4" s="1" t="s">
        <v>40</v>
      </c>
      <c r="B4" s="29">
        <f>B3/B2-1</f>
        <v>0.82251385405445077</v>
      </c>
      <c r="C4" s="29">
        <f>C3/C2-1</f>
        <v>1.2782665032193674</v>
      </c>
      <c r="D4" s="29">
        <f>D3/D2-1</f>
        <v>1.8216202174933138</v>
      </c>
    </row>
    <row r="5" spans="1:4" ht="15">
      <c r="A5" s="1" t="s">
        <v>41</v>
      </c>
      <c r="B5" s="15">
        <f>(B3/B2)^(12/B8)-1</f>
        <v>6.1859565982794074E-2</v>
      </c>
      <c r="C5" s="15">
        <f>(C3/C2)^(12/C8)-1</f>
        <v>8.5826539805150315E-2</v>
      </c>
      <c r="D5" s="15">
        <f>(D3/D2)^(12/D8)-1</f>
        <v>0.10930215288136003</v>
      </c>
    </row>
    <row r="6" spans="1:4" ht="15">
      <c r="A6" s="1" t="s">
        <v>42</v>
      </c>
      <c r="B6" s="29">
        <f>_xlfn.STDEV.S(Portfolio!B2:B121)*SQRT(12)</f>
        <v>7.5748065823019253E-2</v>
      </c>
      <c r="C6" s="29">
        <f>_xlfn.STDEV.S(Portfolio!C2:C121)*SQRT(12)</f>
        <v>9.534471446495138E-2</v>
      </c>
      <c r="D6" s="29">
        <f>_xlfn.STDEV.S(Portfolio!D2:D121)*SQRT(12)</f>
        <v>0.11925864083991615</v>
      </c>
    </row>
    <row r="7" spans="1:4" ht="15">
      <c r="A7" s="1" t="s">
        <v>43</v>
      </c>
      <c r="B7" s="15">
        <f>MIN(Portfolio!O2:O122)</f>
        <v>-0.19213747882585563</v>
      </c>
      <c r="C7" s="15">
        <f>MIN(Portfolio!P2:P122)</f>
        <v>-0.21027444201148582</v>
      </c>
      <c r="D7" s="15">
        <f>MIN(Portfolio!Q2:Q122)</f>
        <v>-0.22858547629221004</v>
      </c>
    </row>
    <row r="8" spans="1:4" ht="15">
      <c r="A8" s="1" t="s">
        <v>44</v>
      </c>
      <c r="B8" s="31">
        <f>COUNT(Portfolio!B2:B121)</f>
        <v>120</v>
      </c>
      <c r="C8" s="31">
        <f>COUNT(Portfolio!C2:C121)</f>
        <v>120</v>
      </c>
      <c r="D8" s="31">
        <f>COUNT(Portfolio!D2:D121)</f>
        <v>120</v>
      </c>
    </row>
    <row r="9" spans="1:4" ht="15">
      <c r="A9" s="11" t="s">
        <v>45</v>
      </c>
      <c r="B9" s="16">
        <f>AVERAGE(Returns!H2:H121)/_xlfn.STDEV.S(Returns!H2:H121)*SQRT(12)</f>
        <v>0.55781778020767392</v>
      </c>
      <c r="C9" s="16">
        <f>AVERAGE(Returns!I2:I121)/_xlfn.STDEV.S(Returns!I2:I121)*SQRT(12)</f>
        <v>0.6959516572965434</v>
      </c>
      <c r="D9" s="16">
        <f>AVERAGE(Returns!J2:J121)/_xlfn.STDEV.S(Returns!J2:J121)*SQRT(12)</f>
        <v>0.75839740980404702</v>
      </c>
    </row>
    <row r="12" spans="1:4" ht="15">
      <c r="A12" s="1" t="s">
        <v>46</v>
      </c>
      <c r="B12" s="1" t="s">
        <v>47</v>
      </c>
      <c r="C12" s="1" t="s">
        <v>48</v>
      </c>
      <c r="D12" s="1" t="s">
        <v>49</v>
      </c>
    </row>
    <row r="13" spans="1:4" ht="15">
      <c r="A13" s="1" t="s">
        <v>47</v>
      </c>
      <c r="B13" s="32">
        <f>CORREL(Returns!$B$2:$B$121,Returns!$B$2:$B$121)</f>
        <v>1.0000000000000002</v>
      </c>
      <c r="C13" s="32">
        <f>CORREL(Returns!$B$2:$B$121,Returns!$C$2:$C$121)</f>
        <v>0.84416820711557883</v>
      </c>
      <c r="D13" s="32">
        <f>CORREL(Returns!$B$2:$B$121,Returns!$D$2:$D$121)</f>
        <v>0.14854351059642662</v>
      </c>
    </row>
    <row r="14" spans="1:4" ht="15">
      <c r="A14" s="1" t="s">
        <v>48</v>
      </c>
      <c r="B14" s="32">
        <f>CORREL(Returns!$C$2:$C$121,Returns!$B$2:$B$121)</f>
        <v>0.84416820711557883</v>
      </c>
      <c r="C14" s="32">
        <f>CORREL(Returns!$C$2:$C$121,Returns!$C$2:$C$121)</f>
        <v>1</v>
      </c>
      <c r="D14" s="32">
        <f>CORREL(Returns!$C$2:$C$121,Returns!$D$2:$D$121)</f>
        <v>0.21517735613747221</v>
      </c>
    </row>
    <row r="15" spans="1:4" ht="15">
      <c r="A15" s="1" t="s">
        <v>49</v>
      </c>
      <c r="B15" s="32">
        <f>CORREL(Returns!$D$2:$D$121,Returns!$B$2:$B$121)</f>
        <v>0.14854351059642662</v>
      </c>
      <c r="C15" s="32">
        <f>CORREL(Returns!$D$2:$D$121,Returns!$C$2:$C$121)</f>
        <v>0.21517735613747221</v>
      </c>
      <c r="D15" s="32">
        <f>CORREL(Returns!$D$2:$D$121,Returns!$D$2:$D$121)</f>
        <v>1.0000000000000002</v>
      </c>
    </row>
    <row r="18" spans="1:8" ht="15">
      <c r="A18" s="1" t="s">
        <v>50</v>
      </c>
      <c r="B18" s="1" t="s">
        <v>1</v>
      </c>
      <c r="C18" s="1" t="s">
        <v>3</v>
      </c>
    </row>
    <row r="19" spans="1:8" ht="15">
      <c r="A19" s="5" t="s">
        <v>51</v>
      </c>
      <c r="B19" s="30">
        <f>B3-$C$3</f>
        <v>-4557.5264916491687</v>
      </c>
      <c r="C19" s="30">
        <f>D3-$C$3</f>
        <v>5433.5371427394603</v>
      </c>
    </row>
    <row r="20" spans="1:8" ht="15">
      <c r="A20" s="5" t="s">
        <v>52</v>
      </c>
      <c r="B20" s="32">
        <f>(B5-$C$5)*100</f>
        <v>-2.3966973822356241</v>
      </c>
      <c r="C20" s="32">
        <f>(D5-$C$5)*100</f>
        <v>2.3475613076209711</v>
      </c>
    </row>
    <row r="21" spans="1:8" ht="15">
      <c r="A21" s="5" t="s">
        <v>53</v>
      </c>
      <c r="B21" s="32">
        <f>(B6-$C$6)*100</f>
        <v>-1.9596648641932126</v>
      </c>
      <c r="C21" s="32">
        <f>(D6-$C$6)*100</f>
        <v>2.3913926374964771</v>
      </c>
    </row>
    <row r="22" spans="1:8" ht="15">
      <c r="A22" s="5" t="s">
        <v>54</v>
      </c>
      <c r="B22" s="32">
        <f>(ABS(B7)-ABS($C$7))*100</f>
        <v>-1.8136963185630184</v>
      </c>
      <c r="C22" s="32">
        <f>(ABS(D7)-ABS($C$7))*100</f>
        <v>1.8311034280724225</v>
      </c>
    </row>
    <row r="23" spans="1:8" ht="15">
      <c r="A23" s="5" t="s">
        <v>55</v>
      </c>
      <c r="B23" s="32">
        <f>B9-$C$9</f>
        <v>-0.13813387708886948</v>
      </c>
      <c r="C23" s="32">
        <f>D9-$C$9</f>
        <v>6.2445752507503616E-2</v>
      </c>
    </row>
    <row r="25" spans="1:8" ht="14.25">
      <c r="A25" s="24" t="s">
        <v>56</v>
      </c>
      <c r="B25" s="24"/>
      <c r="C25" s="24"/>
      <c r="D25" s="24"/>
      <c r="E25" s="18"/>
      <c r="F25" s="18"/>
      <c r="G25" s="18"/>
      <c r="H25" s="18"/>
    </row>
    <row r="26" spans="1:8" ht="14.25">
      <c r="A26" s="33" t="s">
        <v>57</v>
      </c>
      <c r="B26" s="33"/>
      <c r="C26" s="33"/>
      <c r="D26" s="33"/>
      <c r="E26" s="33"/>
      <c r="F26" s="33"/>
      <c r="G26" s="33"/>
      <c r="H26" s="33"/>
    </row>
  </sheetData>
  <mergeCells count="2">
    <mergeCell ref="A25:D25"/>
    <mergeCell ref="A26:H2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F4363-7DD9-4ACE-9CC6-7EFF4AF4548D}">
  <dimension ref="A1:O143"/>
  <sheetViews>
    <sheetView tabSelected="1" topLeftCell="A3" workbookViewId="0">
      <selection activeCell="D26" sqref="D26"/>
    </sheetView>
  </sheetViews>
  <sheetFormatPr defaultRowHeight="13.5"/>
  <cols>
    <col min="1" max="1" width="53.25" bestFit="1" customWidth="1"/>
    <col min="2" max="4" width="10.375" bestFit="1" customWidth="1"/>
    <col min="11" max="11" width="10.375" style="7" bestFit="1" customWidth="1"/>
  </cols>
  <sheetData>
    <row r="1" spans="1:15" ht="21">
      <c r="A1" s="17" t="s">
        <v>58</v>
      </c>
      <c r="K1" s="6" t="s">
        <v>15</v>
      </c>
      <c r="L1" s="1" t="s">
        <v>1</v>
      </c>
      <c r="M1" s="1" t="s">
        <v>2</v>
      </c>
      <c r="N1" s="1" t="s">
        <v>3</v>
      </c>
    </row>
    <row r="2" spans="1:15" ht="15">
      <c r="A2" s="5" t="s">
        <v>59</v>
      </c>
      <c r="K2" s="28">
        <f>Portfolio!F2</f>
        <v>42369</v>
      </c>
      <c r="L2" s="29">
        <f>Portfolio!O2</f>
        <v>0</v>
      </c>
      <c r="M2" s="29">
        <f>Portfolio!P2</f>
        <v>0</v>
      </c>
      <c r="N2" s="29">
        <f>Portfolio!Q2</f>
        <v>0</v>
      </c>
      <c r="O2" s="25"/>
    </row>
    <row r="3" spans="1:15" ht="15">
      <c r="K3" s="28">
        <f>Portfolio!F3</f>
        <v>42398</v>
      </c>
      <c r="L3" s="29">
        <f>Portfolio!O3</f>
        <v>-6.2591845901027732E-4</v>
      </c>
      <c r="M3" s="29">
        <f>Portfolio!P3</f>
        <v>-1.7607244404769462E-2</v>
      </c>
      <c r="N3" s="29">
        <f>Portfolio!Q3</f>
        <v>-3.4588570350528647E-2</v>
      </c>
      <c r="O3" s="25"/>
    </row>
    <row r="4" spans="1:15" ht="15">
      <c r="A4" s="19" t="s">
        <v>38</v>
      </c>
      <c r="B4" s="19" t="s">
        <v>1</v>
      </c>
      <c r="C4" s="19" t="s">
        <v>2</v>
      </c>
      <c r="D4" s="19" t="s">
        <v>3</v>
      </c>
      <c r="K4" s="28">
        <f>Portfolio!F4</f>
        <v>42429</v>
      </c>
      <c r="L4" s="29">
        <f>Portfolio!O4</f>
        <v>0</v>
      </c>
      <c r="M4" s="29">
        <f>Portfolio!P4</f>
        <v>-1.4857339385208834E-2</v>
      </c>
      <c r="N4" s="29">
        <f>Portfolio!Q4</f>
        <v>-3.5767562221470373E-2</v>
      </c>
      <c r="O4" s="25"/>
    </row>
    <row r="5" spans="1:15" ht="15">
      <c r="A5" s="1" t="s">
        <v>39</v>
      </c>
      <c r="B5" s="30">
        <f>'Risk Metrics'!B3</f>
        <v>18225.138540544507</v>
      </c>
      <c r="C5" s="30">
        <f>'Risk Metrics'!C3</f>
        <v>22782.665032193676</v>
      </c>
      <c r="D5" s="30">
        <f>'Risk Metrics'!D3</f>
        <v>28216.202174933136</v>
      </c>
      <c r="K5" s="28">
        <f>Portfolio!F5</f>
        <v>42460</v>
      </c>
      <c r="L5" s="29">
        <f>Portfolio!O5</f>
        <v>0</v>
      </c>
      <c r="M5" s="29">
        <f>Portfolio!P5</f>
        <v>0</v>
      </c>
      <c r="N5" s="29">
        <f>Portfolio!Q5</f>
        <v>0</v>
      </c>
      <c r="O5" s="25"/>
    </row>
    <row r="6" spans="1:15" ht="15">
      <c r="A6" s="1" t="s">
        <v>41</v>
      </c>
      <c r="B6" s="29">
        <f>'Risk Metrics'!B5</f>
        <v>6.1859565982794074E-2</v>
      </c>
      <c r="C6" s="29">
        <f>'Risk Metrics'!C5</f>
        <v>8.5826539805150315E-2</v>
      </c>
      <c r="D6" s="29">
        <f>'Risk Metrics'!D5</f>
        <v>0.10930215288136003</v>
      </c>
      <c r="K6" s="28">
        <f>Portfolio!F6</f>
        <v>42489</v>
      </c>
      <c r="L6" s="29">
        <f>Portfolio!O6</f>
        <v>0</v>
      </c>
      <c r="M6" s="29">
        <f>Portfolio!P6</f>
        <v>0</v>
      </c>
      <c r="N6" s="29">
        <f>Portfolio!Q6</f>
        <v>0</v>
      </c>
      <c r="O6" s="25"/>
    </row>
    <row r="7" spans="1:15" ht="15">
      <c r="A7" s="1" t="s">
        <v>42</v>
      </c>
      <c r="B7" s="29">
        <f>'Risk Metrics'!B6</f>
        <v>7.5748065823019253E-2</v>
      </c>
      <c r="C7" s="29">
        <f>'Risk Metrics'!C6</f>
        <v>9.534471446495138E-2</v>
      </c>
      <c r="D7" s="29">
        <f>'Risk Metrics'!D6</f>
        <v>0.11925864083991615</v>
      </c>
      <c r="K7" s="28">
        <f>Portfolio!F7</f>
        <v>42521</v>
      </c>
      <c r="L7" s="29">
        <f>Portfolio!O7</f>
        <v>0</v>
      </c>
      <c r="M7" s="29">
        <f>Portfolio!P7</f>
        <v>0</v>
      </c>
      <c r="N7" s="29">
        <f>Portfolio!Q7</f>
        <v>0</v>
      </c>
      <c r="O7" s="25"/>
    </row>
    <row r="8" spans="1:15" ht="15">
      <c r="A8" s="1" t="s">
        <v>43</v>
      </c>
      <c r="B8" s="29">
        <f>'Risk Metrics'!B7</f>
        <v>-0.19213747882585563</v>
      </c>
      <c r="C8" s="29">
        <f>'Risk Metrics'!C7</f>
        <v>-0.21027444201148582</v>
      </c>
      <c r="D8" s="29">
        <f>'Risk Metrics'!D7</f>
        <v>-0.22858547629221004</v>
      </c>
      <c r="K8" s="28">
        <f>Portfolio!F8</f>
        <v>42551</v>
      </c>
      <c r="L8" s="29">
        <f>Portfolio!O8</f>
        <v>0</v>
      </c>
      <c r="M8" s="29">
        <f>Portfolio!P8</f>
        <v>0</v>
      </c>
      <c r="N8" s="29">
        <f>Portfolio!Q8</f>
        <v>0</v>
      </c>
      <c r="O8" s="25"/>
    </row>
    <row r="9" spans="1:15" ht="15">
      <c r="A9" s="1" t="s">
        <v>45</v>
      </c>
      <c r="B9" s="32">
        <f>'Risk Metrics'!B9</f>
        <v>0.55781778020767392</v>
      </c>
      <c r="C9" s="32">
        <f>'Risk Metrics'!C9</f>
        <v>0.6959516572965434</v>
      </c>
      <c r="D9" s="32">
        <f>'Risk Metrics'!D9</f>
        <v>0.75839740980404702</v>
      </c>
      <c r="K9" s="28">
        <f>Portfolio!F9</f>
        <v>42580</v>
      </c>
      <c r="L9" s="29">
        <f>Portfolio!O9</f>
        <v>0</v>
      </c>
      <c r="M9" s="29">
        <f>Portfolio!P9</f>
        <v>0</v>
      </c>
      <c r="N9" s="29">
        <f>Portfolio!Q9</f>
        <v>0</v>
      </c>
      <c r="O9" s="25"/>
    </row>
    <row r="10" spans="1:15" ht="15">
      <c r="K10" s="28">
        <f>Portfolio!F10</f>
        <v>42613</v>
      </c>
      <c r="L10" s="29">
        <f>Portfolio!O10</f>
        <v>-5.0952565789984527E-3</v>
      </c>
      <c r="M10" s="29">
        <f>Portfolio!P10</f>
        <v>-2.5859755777759563E-3</v>
      </c>
      <c r="N10" s="29">
        <f>Portfolio!Q10</f>
        <v>-7.6694576553570926E-5</v>
      </c>
      <c r="O10" s="25"/>
    </row>
    <row r="11" spans="1:15" ht="15">
      <c r="A11" s="24" t="s">
        <v>60</v>
      </c>
      <c r="B11" s="24"/>
      <c r="C11" s="24"/>
      <c r="D11" s="24"/>
      <c r="E11" s="18"/>
      <c r="F11" s="18"/>
      <c r="G11" s="18"/>
      <c r="K11" s="28">
        <f>Portfolio!F11</f>
        <v>42643</v>
      </c>
      <c r="L11" s="29">
        <f>Portfolio!O11</f>
        <v>-1.8541286856911254E-3</v>
      </c>
      <c r="M11" s="29">
        <f>Portfolio!P11</f>
        <v>0</v>
      </c>
      <c r="N11" s="29">
        <f>Portfolio!Q11</f>
        <v>0</v>
      </c>
      <c r="O11" s="25"/>
    </row>
    <row r="12" spans="1:15" ht="15">
      <c r="A12" s="33" t="s">
        <v>61</v>
      </c>
      <c r="B12" s="33"/>
      <c r="C12" s="33"/>
      <c r="D12" s="33"/>
      <c r="E12" s="18"/>
      <c r="F12" s="18"/>
      <c r="G12" s="18"/>
      <c r="K12" s="28">
        <f>Portfolio!F12</f>
        <v>42674</v>
      </c>
      <c r="L12" s="29">
        <f>Portfolio!O12</f>
        <v>-1.7929389807013973E-2</v>
      </c>
      <c r="M12" s="29">
        <f>Portfolio!P12</f>
        <v>-1.6683965277015655E-2</v>
      </c>
      <c r="N12" s="29">
        <f>Portfolio!Q12</f>
        <v>-1.7262808463854529E-2</v>
      </c>
      <c r="O12" s="25"/>
    </row>
    <row r="13" spans="1:15" ht="15">
      <c r="K13" s="28">
        <f>Portfolio!F13</f>
        <v>42704</v>
      </c>
      <c r="L13" s="29">
        <f>Portfolio!O13</f>
        <v>-3.4269046235005707E-2</v>
      </c>
      <c r="M13" s="29">
        <f>Portfolio!P13</f>
        <v>-2.044127339127666E-2</v>
      </c>
      <c r="N13" s="29">
        <f>Portfolio!Q13</f>
        <v>-8.4222541199517886E-3</v>
      </c>
      <c r="O13" s="25"/>
    </row>
    <row r="14" spans="1:15" ht="15">
      <c r="K14" s="28">
        <f>Portfolio!F14</f>
        <v>42734</v>
      </c>
      <c r="L14" s="29">
        <f>Portfolio!O14</f>
        <v>-2.6954632893343211E-2</v>
      </c>
      <c r="M14" s="29">
        <f>Portfolio!P14</f>
        <v>-8.7321610083281875E-3</v>
      </c>
      <c r="N14" s="29">
        <f>Portfolio!Q14</f>
        <v>0</v>
      </c>
      <c r="O14" s="25"/>
    </row>
    <row r="15" spans="1:15" ht="15">
      <c r="K15" s="28">
        <f>Portfolio!F15</f>
        <v>42766</v>
      </c>
      <c r="L15" s="29">
        <f>Portfolio!O15</f>
        <v>-1.6572015738108292E-2</v>
      </c>
      <c r="M15" s="29">
        <f>Portfolio!P15</f>
        <v>0</v>
      </c>
      <c r="N15" s="29">
        <f>Portfolio!Q15</f>
        <v>0</v>
      </c>
      <c r="O15" s="25"/>
    </row>
    <row r="16" spans="1:15" ht="15">
      <c r="K16" s="28">
        <f>Portfolio!F16</f>
        <v>42794</v>
      </c>
      <c r="L16" s="29">
        <f>Portfolio!O16</f>
        <v>0</v>
      </c>
      <c r="M16" s="29">
        <f>Portfolio!P16</f>
        <v>0</v>
      </c>
      <c r="N16" s="29">
        <f>Portfolio!Q16</f>
        <v>0</v>
      </c>
      <c r="O16" s="25"/>
    </row>
    <row r="17" spans="11:15" ht="15">
      <c r="K17" s="28">
        <f>Portfolio!F17</f>
        <v>42825</v>
      </c>
      <c r="L17" s="29">
        <f>Portfolio!O17</f>
        <v>0</v>
      </c>
      <c r="M17" s="29">
        <f>Portfolio!P17</f>
        <v>0</v>
      </c>
      <c r="N17" s="29">
        <f>Portfolio!Q17</f>
        <v>0</v>
      </c>
      <c r="O17" s="25"/>
    </row>
    <row r="18" spans="11:15" ht="15">
      <c r="K18" s="28">
        <f>Portfolio!F18</f>
        <v>42853</v>
      </c>
      <c r="L18" s="29">
        <f>Portfolio!O18</f>
        <v>0</v>
      </c>
      <c r="M18" s="29">
        <f>Portfolio!P18</f>
        <v>0</v>
      </c>
      <c r="N18" s="29">
        <f>Portfolio!Q18</f>
        <v>0</v>
      </c>
      <c r="O18" s="25"/>
    </row>
    <row r="19" spans="11:15" ht="15">
      <c r="K19" s="28">
        <f>Portfolio!F19</f>
        <v>42886</v>
      </c>
      <c r="L19" s="29">
        <f>Portfolio!O19</f>
        <v>0</v>
      </c>
      <c r="M19" s="29">
        <f>Portfolio!P19</f>
        <v>0</v>
      </c>
      <c r="N19" s="29">
        <f>Portfolio!Q19</f>
        <v>0</v>
      </c>
      <c r="O19" s="25"/>
    </row>
    <row r="20" spans="11:15" ht="15">
      <c r="K20" s="28">
        <f>Portfolio!F20</f>
        <v>42916</v>
      </c>
      <c r="L20" s="29">
        <f>Portfolio!O20</f>
        <v>-2.3007112277328989E-4</v>
      </c>
      <c r="M20" s="29">
        <f>Portfolio!P20</f>
        <v>0</v>
      </c>
      <c r="N20" s="29">
        <f>Portfolio!Q20</f>
        <v>0</v>
      </c>
      <c r="O20" s="25"/>
    </row>
    <row r="21" spans="11:15" ht="15">
      <c r="K21" s="28">
        <f>Portfolio!F21</f>
        <v>42947</v>
      </c>
      <c r="L21" s="29">
        <f>Portfolio!O21</f>
        <v>0</v>
      </c>
      <c r="M21" s="29">
        <f>Portfolio!P21</f>
        <v>0</v>
      </c>
      <c r="N21" s="29">
        <f>Portfolio!Q21</f>
        <v>0</v>
      </c>
      <c r="O21" s="25"/>
    </row>
    <row r="22" spans="11:15" ht="15">
      <c r="K22" s="28">
        <f>Portfolio!F22</f>
        <v>42978</v>
      </c>
      <c r="L22" s="29">
        <f>Portfolio!O22</f>
        <v>0</v>
      </c>
      <c r="M22" s="29">
        <f>Portfolio!P22</f>
        <v>0</v>
      </c>
      <c r="N22" s="29">
        <f>Portfolio!Q22</f>
        <v>0</v>
      </c>
      <c r="O22" s="25"/>
    </row>
    <row r="23" spans="11:15" ht="15">
      <c r="K23" s="28">
        <f>Portfolio!F23</f>
        <v>43007</v>
      </c>
      <c r="L23" s="29">
        <f>Portfolio!O23</f>
        <v>-5.6864815400681223E-4</v>
      </c>
      <c r="M23" s="29">
        <f>Portfolio!P23</f>
        <v>0</v>
      </c>
      <c r="N23" s="29">
        <f>Portfolio!Q23</f>
        <v>0</v>
      </c>
      <c r="O23" s="25"/>
    </row>
    <row r="24" spans="11:15" ht="15">
      <c r="K24" s="28">
        <f>Portfolio!F24</f>
        <v>43039</v>
      </c>
      <c r="L24" s="29">
        <f>Portfolio!O24</f>
        <v>0</v>
      </c>
      <c r="M24" s="29">
        <f>Portfolio!P24</f>
        <v>0</v>
      </c>
      <c r="N24" s="29">
        <f>Portfolio!Q24</f>
        <v>0</v>
      </c>
      <c r="O24" s="25"/>
    </row>
    <row r="25" spans="11:15" ht="15">
      <c r="K25" s="28">
        <f>Portfolio!F25</f>
        <v>43069</v>
      </c>
      <c r="L25" s="29">
        <f>Portfolio!O25</f>
        <v>0</v>
      </c>
      <c r="M25" s="29">
        <f>Portfolio!P25</f>
        <v>0</v>
      </c>
      <c r="N25" s="29">
        <f>Portfolio!Q25</f>
        <v>0</v>
      </c>
      <c r="O25" s="25"/>
    </row>
    <row r="26" spans="11:15" ht="15">
      <c r="K26" s="28">
        <f>Portfolio!F26</f>
        <v>43098</v>
      </c>
      <c r="L26" s="29">
        <f>Portfolio!O26</f>
        <v>0</v>
      </c>
      <c r="M26" s="29">
        <f>Portfolio!P26</f>
        <v>0</v>
      </c>
      <c r="N26" s="29">
        <f>Portfolio!Q26</f>
        <v>0</v>
      </c>
      <c r="O26" s="25"/>
    </row>
    <row r="27" spans="11:15" ht="15">
      <c r="K27" s="28">
        <f>Portfolio!F27</f>
        <v>43131</v>
      </c>
      <c r="L27" s="29">
        <f>Portfolio!O27</f>
        <v>0</v>
      </c>
      <c r="M27" s="29">
        <f>Portfolio!P27</f>
        <v>0</v>
      </c>
      <c r="N27" s="29">
        <f>Portfolio!Q27</f>
        <v>0</v>
      </c>
      <c r="O27" s="25"/>
    </row>
    <row r="28" spans="11:15" ht="15">
      <c r="K28" s="28">
        <f>Portfolio!F28</f>
        <v>43159</v>
      </c>
      <c r="L28" s="29">
        <f>Portfolio!O28</f>
        <v>-2.2040022589675745E-2</v>
      </c>
      <c r="M28" s="29">
        <f>Portfolio!P28</f>
        <v>-2.8395896708067192E-2</v>
      </c>
      <c r="N28" s="29">
        <f>Portfolio!Q28</f>
        <v>-3.4751770826458639E-2</v>
      </c>
      <c r="O28" s="25"/>
    </row>
    <row r="29" spans="11:15" ht="15">
      <c r="K29" s="28">
        <f>Portfolio!F29</f>
        <v>43188</v>
      </c>
      <c r="L29" s="29">
        <f>Portfolio!O29</f>
        <v>-2.2851848708032696E-2</v>
      </c>
      <c r="M29" s="29">
        <f>Portfolio!P29</f>
        <v>-3.522060737596211E-2</v>
      </c>
      <c r="N29" s="29">
        <f>Portfolio!Q29</f>
        <v>-4.7510628888072892E-2</v>
      </c>
      <c r="O29" s="25"/>
    </row>
    <row r="30" spans="11:15" ht="15">
      <c r="K30" s="28">
        <f>Portfolio!F30</f>
        <v>43220</v>
      </c>
      <c r="L30" s="29">
        <f>Portfolio!O30</f>
        <v>-2.8863853289224362E-2</v>
      </c>
      <c r="M30" s="29">
        <f>Portfolio!P30</f>
        <v>-3.7966432671415973E-2</v>
      </c>
      <c r="N30" s="29">
        <f>Portfolio!Q30</f>
        <v>-4.7072034169847066E-2</v>
      </c>
      <c r="O30" s="25"/>
    </row>
    <row r="31" spans="11:15" ht="15">
      <c r="K31" s="28">
        <f>Portfolio!F31</f>
        <v>43251</v>
      </c>
      <c r="L31" s="29">
        <f>Portfolio!O31</f>
        <v>-1.7612495521106775E-2</v>
      </c>
      <c r="M31" s="29">
        <f>Portfolio!P31</f>
        <v>-2.5991234427771626E-2</v>
      </c>
      <c r="N31" s="29">
        <f>Portfolio!Q31</f>
        <v>-3.4388729049536493E-2</v>
      </c>
      <c r="O31" s="25"/>
    </row>
    <row r="32" spans="11:15" ht="15">
      <c r="K32" s="28">
        <f>Portfolio!F32</f>
        <v>43280</v>
      </c>
      <c r="L32" s="29">
        <f>Portfolio!O32</f>
        <v>-1.6803775992817127E-2</v>
      </c>
      <c r="M32" s="29">
        <f>Portfolio!P32</f>
        <v>-2.5749935879650354E-2</v>
      </c>
      <c r="N32" s="29">
        <f>Portfolio!Q32</f>
        <v>-3.4705201725995227E-2</v>
      </c>
      <c r="O32" s="25"/>
    </row>
    <row r="33" spans="11:15" ht="15">
      <c r="K33" s="28">
        <f>Portfolio!F33</f>
        <v>43312</v>
      </c>
      <c r="L33" s="29">
        <f>Portfolio!O33</f>
        <v>-6.5279776991330474E-3</v>
      </c>
      <c r="M33" s="29">
        <f>Portfolio!P33</f>
        <v>-7.9056525330728489E-3</v>
      </c>
      <c r="N33" s="29">
        <f>Portfolio!Q33</f>
        <v>-9.4333857907485941E-3</v>
      </c>
      <c r="O33" s="25"/>
    </row>
    <row r="34" spans="11:15" ht="15">
      <c r="K34" s="28">
        <f>Portfolio!F34</f>
        <v>43343</v>
      </c>
      <c r="L34" s="29">
        <f>Portfolio!O34</f>
        <v>0</v>
      </c>
      <c r="M34" s="29">
        <f>Portfolio!P34</f>
        <v>0</v>
      </c>
      <c r="N34" s="29">
        <f>Portfolio!Q34</f>
        <v>0</v>
      </c>
      <c r="O34" s="25"/>
    </row>
    <row r="35" spans="11:15" ht="15">
      <c r="K35" s="28">
        <f>Portfolio!F35</f>
        <v>43371</v>
      </c>
      <c r="L35" s="29">
        <f>Portfolio!O35</f>
        <v>-5.4073038722266542E-3</v>
      </c>
      <c r="M35" s="29">
        <f>Portfolio!P35</f>
        <v>-2.0857897994082109E-3</v>
      </c>
      <c r="N35" s="29">
        <f>Portfolio!Q35</f>
        <v>0</v>
      </c>
      <c r="O35" s="25"/>
    </row>
    <row r="36" spans="11:15" ht="15">
      <c r="K36" s="28">
        <f>Portfolio!F36</f>
        <v>43404</v>
      </c>
      <c r="L36" s="29">
        <f>Portfolio!O36</f>
        <v>-3.5866487303711558E-2</v>
      </c>
      <c r="M36" s="29">
        <f>Portfolio!P36</f>
        <v>-4.6414860854657292E-2</v>
      </c>
      <c r="N36" s="29">
        <f>Portfolio!Q36</f>
        <v>-5.8218669946092705E-2</v>
      </c>
      <c r="O36" s="25"/>
    </row>
    <row r="37" spans="11:15" ht="15">
      <c r="K37" s="28">
        <f>Portfolio!F37</f>
        <v>43434</v>
      </c>
      <c r="L37" s="29">
        <f>Portfolio!O37</f>
        <v>-2.1464436308170631E-2</v>
      </c>
      <c r="M37" s="29">
        <f>Portfolio!P37</f>
        <v>-3.1390025034127467E-2</v>
      </c>
      <c r="N37" s="29">
        <f>Portfolio!Q37</f>
        <v>-4.2609121768274694E-2</v>
      </c>
      <c r="O37" s="25"/>
    </row>
    <row r="38" spans="11:15" ht="15">
      <c r="K38" s="28">
        <f>Portfolio!F38</f>
        <v>43465</v>
      </c>
      <c r="L38" s="29">
        <f>Portfolio!O38</f>
        <v>-3.5823240164574388E-2</v>
      </c>
      <c r="M38" s="29">
        <f>Portfolio!P38</f>
        <v>-6.6290711686400772E-2</v>
      </c>
      <c r="N38" s="29">
        <f>Portfolio!Q38</f>
        <v>-9.7553476646087822E-2</v>
      </c>
      <c r="O38" s="25"/>
    </row>
    <row r="39" spans="11:15" ht="15">
      <c r="K39" s="28">
        <f>Portfolio!F39</f>
        <v>43496</v>
      </c>
      <c r="L39" s="29">
        <f>Portfolio!O39</f>
        <v>-1.6176143315781433E-3</v>
      </c>
      <c r="M39" s="29">
        <f>Portfolio!P39</f>
        <v>-1.9650286115328042E-2</v>
      </c>
      <c r="N39" s="29">
        <f>Portfolio!Q39</f>
        <v>-3.9411538510192301E-2</v>
      </c>
      <c r="O39" s="25"/>
    </row>
    <row r="40" spans="11:15" ht="15">
      <c r="K40" s="28">
        <f>Portfolio!F40</f>
        <v>43524</v>
      </c>
      <c r="L40" s="29">
        <f>Portfolio!O40</f>
        <v>0</v>
      </c>
      <c r="M40" s="29">
        <f>Portfolio!P40</f>
        <v>-5.1778994542683865E-3</v>
      </c>
      <c r="N40" s="29">
        <f>Portfolio!Q40</f>
        <v>-1.8821274309299252E-2</v>
      </c>
      <c r="O40" s="25"/>
    </row>
    <row r="41" spans="11:15" ht="15">
      <c r="K41" s="28">
        <f>Portfolio!F41</f>
        <v>43553</v>
      </c>
      <c r="L41" s="29">
        <f>Portfolio!O41</f>
        <v>0</v>
      </c>
      <c r="M41" s="29">
        <f>Portfolio!P41</f>
        <v>0</v>
      </c>
      <c r="N41" s="29">
        <f>Portfolio!Q41</f>
        <v>-3.8671432878534251E-4</v>
      </c>
      <c r="O41" s="25"/>
    </row>
    <row r="42" spans="11:15" ht="15">
      <c r="K42" s="28">
        <f>Portfolio!F42</f>
        <v>43585</v>
      </c>
      <c r="L42" s="29">
        <f>Portfolio!O42</f>
        <v>0</v>
      </c>
      <c r="M42" s="29">
        <f>Portfolio!P42</f>
        <v>0</v>
      </c>
      <c r="N42" s="29">
        <f>Portfolio!Q42</f>
        <v>0</v>
      </c>
      <c r="O42" s="25"/>
    </row>
    <row r="43" spans="11:15" ht="15">
      <c r="K43" s="28">
        <f>Portfolio!F43</f>
        <v>43616</v>
      </c>
      <c r="L43" s="29">
        <f>Portfolio!O43</f>
        <v>-6.0370310188717635E-3</v>
      </c>
      <c r="M43" s="29">
        <f>Portfolio!P43</f>
        <v>-2.4298367331645476E-2</v>
      </c>
      <c r="N43" s="29">
        <f>Portfolio!Q43</f>
        <v>-4.2559703644419189E-2</v>
      </c>
      <c r="O43" s="25"/>
    </row>
    <row r="44" spans="11:15" ht="15">
      <c r="K44" s="28">
        <f>Portfolio!F44</f>
        <v>43644</v>
      </c>
      <c r="L44" s="29">
        <f>Portfolio!O44</f>
        <v>0</v>
      </c>
      <c r="M44" s="29">
        <f>Portfolio!P44</f>
        <v>0</v>
      </c>
      <c r="N44" s="29">
        <f>Portfolio!Q44</f>
        <v>0</v>
      </c>
      <c r="O44" s="25"/>
    </row>
    <row r="45" spans="11:15" ht="15">
      <c r="K45" s="28">
        <f>Portfolio!F45</f>
        <v>43677</v>
      </c>
      <c r="L45" s="29">
        <f>Portfolio!O45</f>
        <v>0</v>
      </c>
      <c r="M45" s="29">
        <f>Portfolio!P45</f>
        <v>0</v>
      </c>
      <c r="N45" s="29">
        <f>Portfolio!Q45</f>
        <v>0</v>
      </c>
      <c r="O45" s="25"/>
    </row>
    <row r="46" spans="11:15" ht="15">
      <c r="K46" s="28">
        <f>Portfolio!F46</f>
        <v>43707</v>
      </c>
      <c r="L46" s="29">
        <f>Portfolio!O46</f>
        <v>0</v>
      </c>
      <c r="M46" s="29">
        <f>Portfolio!P46</f>
        <v>0</v>
      </c>
      <c r="N46" s="29">
        <f>Portfolio!Q46</f>
        <v>-6.6257909296526529E-3</v>
      </c>
      <c r="O46" s="25"/>
    </row>
    <row r="47" spans="11:15" ht="15">
      <c r="K47" s="28">
        <f>Portfolio!F47</f>
        <v>43738</v>
      </c>
      <c r="L47" s="29">
        <f>Portfolio!O47</f>
        <v>0</v>
      </c>
      <c r="M47" s="29">
        <f>Portfolio!P47</f>
        <v>0</v>
      </c>
      <c r="N47" s="29">
        <f>Portfolio!Q47</f>
        <v>0</v>
      </c>
      <c r="O47" s="25"/>
    </row>
    <row r="48" spans="11:15" ht="15">
      <c r="K48" s="28">
        <f>Portfolio!F48</f>
        <v>43769</v>
      </c>
      <c r="L48" s="29">
        <f>Portfolio!O48</f>
        <v>0</v>
      </c>
      <c r="M48" s="29">
        <f>Portfolio!P48</f>
        <v>0</v>
      </c>
      <c r="N48" s="29">
        <f>Portfolio!Q48</f>
        <v>0</v>
      </c>
      <c r="O48" s="25"/>
    </row>
    <row r="49" spans="11:15" ht="15">
      <c r="K49" s="28">
        <f>Portfolio!F49</f>
        <v>43798</v>
      </c>
      <c r="L49" s="29">
        <f>Portfolio!O49</f>
        <v>0</v>
      </c>
      <c r="M49" s="29">
        <f>Portfolio!P49</f>
        <v>0</v>
      </c>
      <c r="N49" s="29">
        <f>Portfolio!Q49</f>
        <v>0</v>
      </c>
      <c r="O49" s="25"/>
    </row>
    <row r="50" spans="11:15" ht="15">
      <c r="K50" s="28">
        <f>Portfolio!F50</f>
        <v>43830</v>
      </c>
      <c r="L50" s="29">
        <f>Portfolio!O50</f>
        <v>0</v>
      </c>
      <c r="M50" s="29">
        <f>Portfolio!P50</f>
        <v>0</v>
      </c>
      <c r="N50" s="29">
        <f>Portfolio!Q50</f>
        <v>0</v>
      </c>
      <c r="O50" s="25"/>
    </row>
    <row r="51" spans="11:15" ht="15">
      <c r="K51" s="28">
        <f>Portfolio!F51</f>
        <v>43861</v>
      </c>
      <c r="L51" s="29">
        <f>Portfolio!O51</f>
        <v>0</v>
      </c>
      <c r="M51" s="29">
        <f>Portfolio!P51</f>
        <v>0</v>
      </c>
      <c r="N51" s="29">
        <f>Portfolio!Q51</f>
        <v>0</v>
      </c>
      <c r="O51" s="25"/>
    </row>
    <row r="52" spans="11:15" ht="15">
      <c r="K52" s="28">
        <f>Portfolio!F52</f>
        <v>43889</v>
      </c>
      <c r="L52" s="29">
        <f>Portfolio!O52</f>
        <v>-1.4586496099404211E-2</v>
      </c>
      <c r="M52" s="29">
        <f>Portfolio!P52</f>
        <v>-3.6688058858383998E-2</v>
      </c>
      <c r="N52" s="29">
        <f>Portfolio!Q52</f>
        <v>-5.8789621617363785E-2</v>
      </c>
      <c r="O52" s="25"/>
    </row>
    <row r="53" spans="11:15" ht="15">
      <c r="K53" s="28">
        <f>Portfolio!F53</f>
        <v>43921</v>
      </c>
      <c r="L53" s="29">
        <f>Portfolio!O53</f>
        <v>-4.3865731137383901E-2</v>
      </c>
      <c r="M53" s="29">
        <f>Portfolio!P53</f>
        <v>-9.7552643126715743E-2</v>
      </c>
      <c r="N53" s="29">
        <f>Portfolio!Q53</f>
        <v>-0.14976007676647263</v>
      </c>
      <c r="O53" s="25"/>
    </row>
    <row r="54" spans="11:15" ht="15">
      <c r="K54" s="28">
        <f>Portfolio!F54</f>
        <v>43951</v>
      </c>
      <c r="L54" s="29">
        <f>Portfolio!O54</f>
        <v>0</v>
      </c>
      <c r="M54" s="29">
        <f>Portfolio!P54</f>
        <v>-3.5455866240875045E-2</v>
      </c>
      <c r="N54" s="29">
        <f>Portfolio!Q54</f>
        <v>-7.2534267436741184E-2</v>
      </c>
      <c r="O54" s="25"/>
    </row>
    <row r="55" spans="11:15" ht="15">
      <c r="K55" s="28">
        <f>Portfolio!F55</f>
        <v>43980</v>
      </c>
      <c r="L55" s="29">
        <f>Portfolio!O55</f>
        <v>0</v>
      </c>
      <c r="M55" s="29">
        <f>Portfolio!P55</f>
        <v>-6.2520821931866255E-3</v>
      </c>
      <c r="N55" s="29">
        <f>Portfolio!Q55</f>
        <v>-3.6105026811606655E-2</v>
      </c>
      <c r="O55" s="25"/>
    </row>
    <row r="56" spans="11:15" ht="15">
      <c r="K56" s="28">
        <f>Portfolio!F56</f>
        <v>44012</v>
      </c>
      <c r="L56" s="29">
        <f>Portfolio!O56</f>
        <v>0</v>
      </c>
      <c r="M56" s="29">
        <f>Portfolio!P56</f>
        <v>0</v>
      </c>
      <c r="N56" s="29">
        <f>Portfolio!Q56</f>
        <v>-1.6791982825784091E-2</v>
      </c>
      <c r="O56" s="25"/>
    </row>
    <row r="57" spans="11:15" ht="15">
      <c r="K57" s="28">
        <f>Portfolio!F57</f>
        <v>44043</v>
      </c>
      <c r="L57" s="29">
        <f>Portfolio!O57</f>
        <v>0</v>
      </c>
      <c r="M57" s="29">
        <f>Portfolio!P57</f>
        <v>0</v>
      </c>
      <c r="N57" s="29">
        <f>Portfolio!Q57</f>
        <v>0</v>
      </c>
      <c r="O57" s="25"/>
    </row>
    <row r="58" spans="11:15" ht="15">
      <c r="K58" s="28">
        <f>Portfolio!F58</f>
        <v>44074</v>
      </c>
      <c r="L58" s="29">
        <f>Portfolio!O58</f>
        <v>0</v>
      </c>
      <c r="M58" s="29">
        <f>Portfolio!P58</f>
        <v>0</v>
      </c>
      <c r="N58" s="29">
        <f>Portfolio!Q58</f>
        <v>0</v>
      </c>
      <c r="O58" s="25"/>
    </row>
    <row r="59" spans="11:15" ht="15">
      <c r="K59" s="28">
        <f>Portfolio!F59</f>
        <v>44104</v>
      </c>
      <c r="L59" s="29">
        <f>Portfolio!O59</f>
        <v>-1.1043461559517631E-2</v>
      </c>
      <c r="M59" s="29">
        <f>Portfolio!P59</f>
        <v>-1.8203986837675878E-2</v>
      </c>
      <c r="N59" s="29">
        <f>Portfolio!Q59</f>
        <v>-2.5364512115834126E-2</v>
      </c>
      <c r="O59" s="25"/>
    </row>
    <row r="60" spans="11:15" ht="15">
      <c r="K60" s="28">
        <f>Portfolio!F60</f>
        <v>44134</v>
      </c>
      <c r="L60" s="29">
        <f>Portfolio!O60</f>
        <v>-2.8789770595054609E-2</v>
      </c>
      <c r="M60" s="29">
        <f>Portfolio!P60</f>
        <v>-3.7852466244304162E-2</v>
      </c>
      <c r="N60" s="29">
        <f>Portfolio!Q60</f>
        <v>-4.6885541466795466E-2</v>
      </c>
      <c r="O60" s="25"/>
    </row>
    <row r="61" spans="11:15" ht="15">
      <c r="K61" s="28">
        <f>Portfolio!F61</f>
        <v>44165</v>
      </c>
      <c r="L61" s="29">
        <f>Portfolio!O61</f>
        <v>0</v>
      </c>
      <c r="M61" s="29">
        <f>Portfolio!P61</f>
        <v>0</v>
      </c>
      <c r="N61" s="29">
        <f>Portfolio!Q61</f>
        <v>0</v>
      </c>
      <c r="O61" s="25"/>
    </row>
    <row r="62" spans="11:15" ht="15">
      <c r="K62" s="28">
        <f>Portfolio!F62</f>
        <v>44196</v>
      </c>
      <c r="L62" s="29">
        <f>Portfolio!O62</f>
        <v>0</v>
      </c>
      <c r="M62" s="29">
        <f>Portfolio!P62</f>
        <v>0</v>
      </c>
      <c r="N62" s="29">
        <f>Portfolio!Q62</f>
        <v>0</v>
      </c>
      <c r="O62" s="25"/>
    </row>
    <row r="63" spans="11:15" ht="15">
      <c r="K63" s="28">
        <f>Portfolio!F63</f>
        <v>44225</v>
      </c>
      <c r="L63" s="29">
        <f>Portfolio!O63</f>
        <v>-9.4672152326834569E-3</v>
      </c>
      <c r="M63" s="29">
        <f>Portfolio!P63</f>
        <v>-8.7399820634936898E-3</v>
      </c>
      <c r="N63" s="29">
        <f>Portfolio!Q63</f>
        <v>-8.0127488943039227E-3</v>
      </c>
      <c r="O63" s="25"/>
    </row>
    <row r="64" spans="11:15" ht="15">
      <c r="K64" s="28">
        <f>Portfolio!F64</f>
        <v>44253</v>
      </c>
      <c r="L64" s="29">
        <f>Portfolio!O64</f>
        <v>-1.2945289006554117E-2</v>
      </c>
      <c r="M64" s="29">
        <f>Portfolio!P64</f>
        <v>-2.2475562202862731E-3</v>
      </c>
      <c r="N64" s="29">
        <f>Portfolio!Q64</f>
        <v>0</v>
      </c>
      <c r="O64" s="25"/>
    </row>
    <row r="65" spans="11:15" ht="15">
      <c r="K65" s="28">
        <f>Portfolio!F65</f>
        <v>44286</v>
      </c>
      <c r="L65" s="29">
        <f>Portfolio!O65</f>
        <v>-1.1636831042359352E-2</v>
      </c>
      <c r="M65" s="29">
        <f>Portfolio!P65</f>
        <v>0</v>
      </c>
      <c r="N65" s="29">
        <f>Portfolio!Q65</f>
        <v>0</v>
      </c>
      <c r="O65" s="25"/>
    </row>
    <row r="66" spans="11:15" ht="15">
      <c r="K66" s="28">
        <f>Portfolio!F66</f>
        <v>44316</v>
      </c>
      <c r="L66" s="29">
        <f>Portfolio!O66</f>
        <v>0</v>
      </c>
      <c r="M66" s="29">
        <f>Portfolio!P66</f>
        <v>0</v>
      </c>
      <c r="N66" s="29">
        <f>Portfolio!Q66</f>
        <v>0</v>
      </c>
      <c r="O66" s="25"/>
    </row>
    <row r="67" spans="11:15" ht="15">
      <c r="K67" s="28">
        <f>Portfolio!F67</f>
        <v>44344</v>
      </c>
      <c r="L67" s="29">
        <f>Portfolio!O67</f>
        <v>0</v>
      </c>
      <c r="M67" s="29">
        <f>Portfolio!P67</f>
        <v>0</v>
      </c>
      <c r="N67" s="29">
        <f>Portfolio!Q67</f>
        <v>0</v>
      </c>
      <c r="O67" s="25"/>
    </row>
    <row r="68" spans="11:15" ht="15">
      <c r="K68" s="28">
        <f>Portfolio!F68</f>
        <v>44377</v>
      </c>
      <c r="L68" s="29">
        <f>Portfolio!O68</f>
        <v>0</v>
      </c>
      <c r="M68" s="29">
        <f>Portfolio!P68</f>
        <v>0</v>
      </c>
      <c r="N68" s="29">
        <f>Portfolio!Q68</f>
        <v>0</v>
      </c>
      <c r="O68" s="25"/>
    </row>
    <row r="69" spans="11:15" ht="15">
      <c r="K69" s="28">
        <f>Portfolio!F69</f>
        <v>44407</v>
      </c>
      <c r="L69" s="29">
        <f>Portfolio!O69</f>
        <v>0</v>
      </c>
      <c r="M69" s="29">
        <f>Portfolio!P69</f>
        <v>0</v>
      </c>
      <c r="N69" s="29">
        <f>Portfolio!Q69</f>
        <v>0</v>
      </c>
      <c r="O69" s="25"/>
    </row>
    <row r="70" spans="11:15" ht="15">
      <c r="K70" s="28">
        <f>Portfolio!F70</f>
        <v>44439</v>
      </c>
      <c r="L70" s="29">
        <f>Portfolio!O70</f>
        <v>0</v>
      </c>
      <c r="M70" s="29">
        <f>Portfolio!P70</f>
        <v>0</v>
      </c>
      <c r="N70" s="29">
        <f>Portfolio!Q70</f>
        <v>0</v>
      </c>
      <c r="O70" s="25"/>
    </row>
    <row r="71" spans="11:15" ht="15">
      <c r="K71" s="28">
        <f>Portfolio!F71</f>
        <v>44469</v>
      </c>
      <c r="L71" s="29">
        <f>Portfolio!O71</f>
        <v>-2.7100713429405232E-2</v>
      </c>
      <c r="M71" s="29">
        <f>Portfolio!P71</f>
        <v>-3.2665653702763087E-2</v>
      </c>
      <c r="N71" s="29">
        <f>Portfolio!Q71</f>
        <v>-3.8230593976120941E-2</v>
      </c>
      <c r="O71" s="25"/>
    </row>
    <row r="72" spans="11:15" ht="15">
      <c r="K72" s="28">
        <f>Portfolio!F72</f>
        <v>44498</v>
      </c>
      <c r="L72" s="29">
        <f>Portfolio!O72</f>
        <v>-6.4104654929271199E-3</v>
      </c>
      <c r="M72" s="29">
        <f>Portfolio!P72</f>
        <v>0</v>
      </c>
      <c r="N72" s="29">
        <f>Portfolio!Q72</f>
        <v>0</v>
      </c>
      <c r="O72" s="25"/>
    </row>
    <row r="73" spans="11:15" ht="15">
      <c r="K73" s="28">
        <f>Portfolio!F73</f>
        <v>44530</v>
      </c>
      <c r="L73" s="29">
        <f>Portfolio!O73</f>
        <v>-6.4507139494029975E-3</v>
      </c>
      <c r="M73" s="29">
        <f>Portfolio!P73</f>
        <v>-5.5214354174508706E-3</v>
      </c>
      <c r="N73" s="29">
        <f>Portfolio!Q73</f>
        <v>-1.1002362702440704E-2</v>
      </c>
      <c r="O73" s="25"/>
    </row>
    <row r="74" spans="11:15" ht="15">
      <c r="K74" s="28">
        <f>Portfolio!F74</f>
        <v>44561</v>
      </c>
      <c r="L74" s="29">
        <f>Portfolio!O74</f>
        <v>0</v>
      </c>
      <c r="M74" s="29">
        <f>Portfolio!P74</f>
        <v>0</v>
      </c>
      <c r="N74" s="29">
        <f>Portfolio!Q74</f>
        <v>0</v>
      </c>
      <c r="O74" s="25"/>
    </row>
    <row r="75" spans="11:15" ht="15">
      <c r="K75" s="28">
        <f>Portfolio!F75</f>
        <v>44592</v>
      </c>
      <c r="L75" s="29">
        <f>Portfolio!O75</f>
        <v>-3.1415850313846638E-2</v>
      </c>
      <c r="M75" s="29">
        <f>Portfolio!P75</f>
        <v>-3.6558625054746718E-2</v>
      </c>
      <c r="N75" s="29">
        <f>Portfolio!Q75</f>
        <v>-4.1701399795647021E-2</v>
      </c>
      <c r="O75" s="25"/>
    </row>
    <row r="76" spans="11:15" ht="15">
      <c r="K76" s="28">
        <f>Portfolio!F76</f>
        <v>44620</v>
      </c>
      <c r="L76" s="29">
        <f>Portfolio!O76</f>
        <v>-4.4599246780300583E-2</v>
      </c>
      <c r="M76" s="29">
        <f>Portfolio!P76</f>
        <v>-5.4763791931908279E-2</v>
      </c>
      <c r="N76" s="29">
        <f>Portfolio!Q76</f>
        <v>-6.4873978156936074E-2</v>
      </c>
      <c r="O76" s="25"/>
    </row>
    <row r="77" spans="11:15" ht="15">
      <c r="K77" s="28">
        <f>Portfolio!F77</f>
        <v>44651</v>
      </c>
      <c r="L77" s="29">
        <f>Portfolio!O77</f>
        <v>-5.7357093676641768E-2</v>
      </c>
      <c r="M77" s="29">
        <f>Portfolio!P77</f>
        <v>-5.4504176126317083E-2</v>
      </c>
      <c r="N77" s="29">
        <f>Portfolio!Q77</f>
        <v>-5.1873189883298476E-2</v>
      </c>
      <c r="O77" s="25"/>
    </row>
    <row r="78" spans="11:15" ht="15">
      <c r="K78" s="28">
        <f>Portfolio!F78</f>
        <v>44680</v>
      </c>
      <c r="L78" s="29">
        <f>Portfolio!O78</f>
        <v>-0.11247219593904711</v>
      </c>
      <c r="M78" s="29">
        <f>Portfolio!P78</f>
        <v>-0.11743813535079595</v>
      </c>
      <c r="N78" s="29">
        <f>Portfolio!Q78</f>
        <v>-0.1226556160297374</v>
      </c>
      <c r="O78" s="25"/>
    </row>
    <row r="79" spans="11:15" ht="15">
      <c r="K79" s="28">
        <f>Portfolio!F79</f>
        <v>44712</v>
      </c>
      <c r="L79" s="29">
        <f>Portfolio!O79</f>
        <v>-0.10716579259715253</v>
      </c>
      <c r="M79" s="29">
        <f>Portfolio!P79</f>
        <v>-0.11225198528190439</v>
      </c>
      <c r="N79" s="29">
        <f>Portfolio!Q79</f>
        <v>-0.11759015239728166</v>
      </c>
      <c r="O79" s="25"/>
    </row>
    <row r="80" spans="11:15" ht="15">
      <c r="K80" s="28">
        <f>Portfolio!F80</f>
        <v>44742</v>
      </c>
      <c r="L80" s="29">
        <f>Portfolio!O80</f>
        <v>-0.1413484320976921</v>
      </c>
      <c r="M80" s="29">
        <f>Portfolio!P80</f>
        <v>-0.15940119425422605</v>
      </c>
      <c r="N80" s="29">
        <f>Portfolio!Q80</f>
        <v>-0.17753800200453085</v>
      </c>
      <c r="O80" s="25"/>
    </row>
    <row r="81" spans="11:15" ht="15">
      <c r="K81" s="28">
        <f>Portfolio!F81</f>
        <v>44771</v>
      </c>
      <c r="L81" s="29">
        <f>Portfolio!O81</f>
        <v>-9.8911371165692707E-2</v>
      </c>
      <c r="M81" s="29">
        <f>Portfolio!P81</f>
        <v>-0.10953101795714326</v>
      </c>
      <c r="N81" s="29">
        <f>Portfolio!Q81</f>
        <v>-0.1205981199444871</v>
      </c>
      <c r="O81" s="25"/>
    </row>
    <row r="82" spans="11:15" ht="15">
      <c r="K82" s="28">
        <f>Portfolio!F82</f>
        <v>44804</v>
      </c>
      <c r="L82" s="29">
        <f>Portfolio!O82</f>
        <v>-0.13505880694857586</v>
      </c>
      <c r="M82" s="29">
        <f>Portfolio!P82</f>
        <v>-0.1459544641074072</v>
      </c>
      <c r="N82" s="29">
        <f>Portfolio!Q82</f>
        <v>-0.15726217668309805</v>
      </c>
      <c r="O82" s="25"/>
    </row>
    <row r="83" spans="11:15" ht="15">
      <c r="K83" s="28">
        <f>Portfolio!F83</f>
        <v>44834</v>
      </c>
      <c r="L83" s="29">
        <f>Portfolio!O83</f>
        <v>-0.19213747882585563</v>
      </c>
      <c r="M83" s="29">
        <f>Portfolio!P83</f>
        <v>-0.21027444201148582</v>
      </c>
      <c r="N83" s="29">
        <f>Portfolio!Q83</f>
        <v>-0.22858547629221004</v>
      </c>
      <c r="O83" s="25"/>
    </row>
    <row r="84" spans="11:15" ht="15">
      <c r="K84" s="28">
        <f>Portfolio!F84</f>
        <v>44865</v>
      </c>
      <c r="L84" s="29">
        <f>Portfolio!O84</f>
        <v>-0.17643173935840573</v>
      </c>
      <c r="M84" s="29">
        <f>Portfolio!P84</f>
        <v>-0.18150349143014166</v>
      </c>
      <c r="N84" s="29">
        <f>Portfolio!Q84</f>
        <v>-0.18737492513447374</v>
      </c>
      <c r="O84" s="25"/>
    </row>
    <row r="85" spans="11:15" ht="15">
      <c r="K85" s="28">
        <f>Portfolio!F85</f>
        <v>44895</v>
      </c>
      <c r="L85" s="29">
        <f>Portfolio!O85</f>
        <v>-0.1342371549942849</v>
      </c>
      <c r="M85" s="29">
        <f>Portfolio!P85</f>
        <v>-0.13338440581268918</v>
      </c>
      <c r="N85" s="29">
        <f>Portfolio!Q85</f>
        <v>-0.13346103509536034</v>
      </c>
      <c r="O85" s="25"/>
    </row>
    <row r="86" spans="11:15" ht="15">
      <c r="K86" s="28">
        <f>Portfolio!F86</f>
        <v>44925</v>
      </c>
      <c r="L86" s="29">
        <f>Portfolio!O86</f>
        <v>-0.15874311690501763</v>
      </c>
      <c r="M86" s="29">
        <f>Portfolio!P86</f>
        <v>-0.16373159285359884</v>
      </c>
      <c r="N86" s="29">
        <f>Portfolio!Q86</f>
        <v>-0.16962211188861476</v>
      </c>
      <c r="O86" s="25"/>
    </row>
    <row r="87" spans="11:15" ht="15">
      <c r="K87" s="28">
        <f>Portfolio!F87</f>
        <v>44957</v>
      </c>
      <c r="L87" s="29">
        <f>Portfolio!O87</f>
        <v>-0.11745310592530178</v>
      </c>
      <c r="M87" s="29">
        <f>Portfolio!P87</f>
        <v>-0.11713777582524021</v>
      </c>
      <c r="N87" s="29">
        <f>Portfolio!Q87</f>
        <v>-0.11784692956592446</v>
      </c>
      <c r="O87" s="25"/>
    </row>
    <row r="88" spans="11:15" ht="15">
      <c r="K88" s="28">
        <f>Portfolio!F88</f>
        <v>44985</v>
      </c>
      <c r="L88" s="29">
        <f>Portfolio!O88</f>
        <v>-0.14523428941063565</v>
      </c>
      <c r="M88" s="29">
        <f>Portfolio!P88</f>
        <v>-0.14438625052777521</v>
      </c>
      <c r="N88" s="29">
        <f>Portfolio!Q88</f>
        <v>-0.14453131808744779</v>
      </c>
      <c r="O88" s="25"/>
    </row>
    <row r="89" spans="11:15" ht="15">
      <c r="K89" s="28">
        <f>Portfolio!F89</f>
        <v>45016</v>
      </c>
      <c r="L89" s="29">
        <f>Portfolio!O89</f>
        <v>-0.11422664956748141</v>
      </c>
      <c r="M89" s="29">
        <f>Portfolio!P89</f>
        <v>-0.11374768625921639</v>
      </c>
      <c r="N89" s="29">
        <f>Portfolio!Q89</f>
        <v>-0.1142977199236086</v>
      </c>
      <c r="O89" s="25"/>
    </row>
    <row r="90" spans="11:15" ht="15">
      <c r="K90" s="28">
        <f>Portfolio!F90</f>
        <v>45044</v>
      </c>
      <c r="L90" s="29">
        <f>Portfolio!O90</f>
        <v>-0.10394140444988831</v>
      </c>
      <c r="M90" s="29">
        <f>Portfolio!P90</f>
        <v>-0.10192193011169304</v>
      </c>
      <c r="N90" s="29">
        <f>Portfolio!Q90</f>
        <v>-0.10094530631414278</v>
      </c>
      <c r="O90" s="25"/>
    </row>
    <row r="91" spans="11:15" ht="15">
      <c r="K91" s="28">
        <f>Portfolio!F91</f>
        <v>45077</v>
      </c>
      <c r="L91" s="29">
        <f>Portfolio!O91</f>
        <v>-0.11374257351707218</v>
      </c>
      <c r="M91" s="29">
        <f>Portfolio!P91</f>
        <v>-0.11019808760002003</v>
      </c>
      <c r="N91" s="29">
        <f>Portfolio!Q91</f>
        <v>-0.10768168061133543</v>
      </c>
      <c r="O91" s="25"/>
    </row>
    <row r="92" spans="11:15" ht="15">
      <c r="K92" s="28">
        <f>Portfolio!F92</f>
        <v>45107</v>
      </c>
      <c r="L92" s="29">
        <f>Portfolio!O92</f>
        <v>-9.8898964708522552E-2</v>
      </c>
      <c r="M92" s="29">
        <f>Portfolio!P92</f>
        <v>-8.2259007145384366E-2</v>
      </c>
      <c r="N92" s="29">
        <f>Portfolio!Q92</f>
        <v>-6.6590613837279489E-2</v>
      </c>
      <c r="O92" s="25"/>
    </row>
    <row r="93" spans="11:15" ht="15">
      <c r="K93" s="28">
        <f>Portfolio!F93</f>
        <v>45138</v>
      </c>
      <c r="L93" s="29">
        <f>Portfolio!O93</f>
        <v>-9.0077451255170082E-2</v>
      </c>
      <c r="M93" s="29">
        <f>Portfolio!P93</f>
        <v>-6.5791952280312982E-2</v>
      </c>
      <c r="N93" s="29">
        <f>Portfolio!Q93</f>
        <v>-4.2232029863476295E-2</v>
      </c>
      <c r="O93" s="25"/>
    </row>
    <row r="94" spans="11:15" ht="15">
      <c r="K94" s="28">
        <f>Portfolio!F94</f>
        <v>45169</v>
      </c>
      <c r="L94" s="29">
        <f>Portfolio!O94</f>
        <v>-0.10259217786010921</v>
      </c>
      <c r="M94" s="29">
        <f>Portfolio!P94</f>
        <v>-8.1651031318155987E-2</v>
      </c>
      <c r="N94" s="29">
        <f>Portfolio!Q94</f>
        <v>-6.1577318344515408E-2</v>
      </c>
      <c r="O94" s="25"/>
    </row>
    <row r="95" spans="11:15" ht="15">
      <c r="K95" s="28">
        <f>Portfolio!F95</f>
        <v>45198</v>
      </c>
      <c r="L95" s="29">
        <f>Portfolio!O95</f>
        <v>-0.13531778954048479</v>
      </c>
      <c r="M95" s="29">
        <f>Portfolio!P95</f>
        <v>-0.11747231875612374</v>
      </c>
      <c r="N95" s="29">
        <f>Portfolio!Q95</f>
        <v>-0.10056459776385784</v>
      </c>
      <c r="O95" s="25"/>
    </row>
    <row r="96" spans="11:15" ht="15">
      <c r="K96" s="28">
        <f>Portfolio!F96</f>
        <v>45230</v>
      </c>
      <c r="L96" s="29">
        <f>Portfolio!O96</f>
        <v>-0.1540786039963894</v>
      </c>
      <c r="M96" s="29">
        <f>Portfolio!P96</f>
        <v>-0.13768788595693027</v>
      </c>
      <c r="N96" s="29">
        <f>Portfolio!Q96</f>
        <v>-0.12225547694974315</v>
      </c>
      <c r="O96" s="25"/>
    </row>
    <row r="97" spans="11:15" ht="15">
      <c r="K97" s="28">
        <f>Portfolio!F97</f>
        <v>45260</v>
      </c>
      <c r="L97" s="29">
        <f>Portfolio!O97</f>
        <v>-0.10060634606457663</v>
      </c>
      <c r="M97" s="29">
        <f>Portfolio!P97</f>
        <v>-7.5562321588196646E-2</v>
      </c>
      <c r="N97" s="29">
        <f>Portfolio!Q97</f>
        <v>-5.1264538808986626E-2</v>
      </c>
      <c r="O97" s="25"/>
    </row>
    <row r="98" spans="11:15" ht="15">
      <c r="K98" s="28">
        <f>Portfolio!F98</f>
        <v>45289</v>
      </c>
      <c r="L98" s="29">
        <f>Portfolio!O98</f>
        <v>-6.3155928942148831E-2</v>
      </c>
      <c r="M98" s="29">
        <f>Portfolio!P98</f>
        <v>-3.5258524573034911E-2</v>
      </c>
      <c r="N98" s="29">
        <f>Portfolio!Q98</f>
        <v>-8.0432583555265502E-3</v>
      </c>
      <c r="O98" s="25"/>
    </row>
    <row r="99" spans="11:15" ht="15">
      <c r="K99" s="28">
        <f>Portfolio!F99</f>
        <v>45322</v>
      </c>
      <c r="L99" s="29">
        <f>Portfolio!O99</f>
        <v>-5.9894950737746311E-2</v>
      </c>
      <c r="M99" s="29">
        <f>Portfolio!P99</f>
        <v>-3.057162977586525E-2</v>
      </c>
      <c r="N99" s="29">
        <f>Portfolio!Q99</f>
        <v>-1.8578500955959143E-3</v>
      </c>
      <c r="O99" s="25"/>
    </row>
    <row r="100" spans="11:15" ht="15">
      <c r="K100" s="28">
        <f>Portfolio!F100</f>
        <v>45351</v>
      </c>
      <c r="L100" s="29">
        <f>Portfolio!O100</f>
        <v>-5.418107716996523E-2</v>
      </c>
      <c r="M100" s="29">
        <f>Portfolio!P100</f>
        <v>-1.1638767485429247E-2</v>
      </c>
      <c r="N100" s="29">
        <f>Portfolio!Q100</f>
        <v>0</v>
      </c>
      <c r="O100" s="25"/>
    </row>
    <row r="101" spans="11:15" ht="15">
      <c r="K101" s="28">
        <f>Portfolio!F101</f>
        <v>45379</v>
      </c>
      <c r="L101" s="29">
        <f>Portfolio!O101</f>
        <v>-3.7501602572598602E-2</v>
      </c>
      <c r="M101" s="29">
        <f>Portfolio!P101</f>
        <v>0</v>
      </c>
      <c r="N101" s="29">
        <f>Portfolio!Q101</f>
        <v>0</v>
      </c>
      <c r="O101" s="25"/>
    </row>
    <row r="102" spans="11:15" ht="15">
      <c r="K102" s="28">
        <f>Portfolio!F102</f>
        <v>45412</v>
      </c>
      <c r="L102" s="29">
        <f>Portfolio!O102</f>
        <v>-6.9580999582449343E-2</v>
      </c>
      <c r="M102" s="29">
        <f>Portfolio!P102</f>
        <v>-3.4345187075550343E-2</v>
      </c>
      <c r="N102" s="29">
        <f>Portfolio!Q102</f>
        <v>-3.5361075010869825E-2</v>
      </c>
      <c r="O102" s="25"/>
    </row>
    <row r="103" spans="11:15" ht="15">
      <c r="K103" s="28">
        <f>Portfolio!F103</f>
        <v>45443</v>
      </c>
      <c r="L103" s="29">
        <f>Portfolio!O103</f>
        <v>-4.1631558494134802E-2</v>
      </c>
      <c r="M103" s="29">
        <f>Portfolio!P103</f>
        <v>0</v>
      </c>
      <c r="N103" s="29">
        <f>Portfolio!Q103</f>
        <v>0</v>
      </c>
      <c r="O103" s="25"/>
    </row>
    <row r="104" spans="11:15" ht="15">
      <c r="K104" s="28">
        <f>Portfolio!F104</f>
        <v>45471</v>
      </c>
      <c r="L104" s="29">
        <f>Portfolio!O104</f>
        <v>-2.4857366582567098E-2</v>
      </c>
      <c r="M104" s="29">
        <f>Portfolio!P104</f>
        <v>0</v>
      </c>
      <c r="N104" s="29">
        <f>Portfolio!Q104</f>
        <v>0</v>
      </c>
      <c r="O104" s="25"/>
    </row>
    <row r="105" spans="11:15" ht="15">
      <c r="K105" s="28">
        <f>Portfolio!F105</f>
        <v>45504</v>
      </c>
      <c r="L105" s="29">
        <f>Portfolio!O105</f>
        <v>-2.2978583649996276E-3</v>
      </c>
      <c r="M105" s="29">
        <f>Portfolio!P105</f>
        <v>0</v>
      </c>
      <c r="N105" s="29">
        <f>Portfolio!Q105</f>
        <v>0</v>
      </c>
      <c r="O105" s="25"/>
    </row>
    <row r="106" spans="11:15" ht="15">
      <c r="K106" s="28">
        <f>Portfolio!F106</f>
        <v>45534</v>
      </c>
      <c r="L106" s="29">
        <f>Portfolio!O106</f>
        <v>0</v>
      </c>
      <c r="M106" s="29">
        <f>Portfolio!P106</f>
        <v>0</v>
      </c>
      <c r="N106" s="29">
        <f>Portfolio!Q106</f>
        <v>0</v>
      </c>
      <c r="O106" s="25"/>
    </row>
    <row r="107" spans="11:15" ht="15">
      <c r="K107" s="28">
        <f>Portfolio!F107</f>
        <v>45565</v>
      </c>
      <c r="L107" s="29">
        <f>Portfolio!O107</f>
        <v>0</v>
      </c>
      <c r="M107" s="29">
        <f>Portfolio!P107</f>
        <v>0</v>
      </c>
      <c r="N107" s="29">
        <f>Portfolio!Q107</f>
        <v>0</v>
      </c>
      <c r="O107" s="25"/>
    </row>
    <row r="108" spans="11:15" ht="15">
      <c r="K108" s="28">
        <f>Portfolio!F108</f>
        <v>45596</v>
      </c>
      <c r="L108" s="29">
        <f>Portfolio!O108</f>
        <v>-2.7728612593911683E-2</v>
      </c>
      <c r="M108" s="29">
        <f>Portfolio!P108</f>
        <v>-2.4656102265270596E-2</v>
      </c>
      <c r="N108" s="29">
        <f>Portfolio!Q108</f>
        <v>-2.158359193662962E-2</v>
      </c>
      <c r="O108" s="25"/>
    </row>
    <row r="109" spans="11:15" ht="15">
      <c r="K109" s="28">
        <f>Portfolio!F109</f>
        <v>45625</v>
      </c>
      <c r="L109" s="29">
        <f>Portfolio!O109</f>
        <v>-4.8073905084914381E-3</v>
      </c>
      <c r="M109" s="29">
        <f>Portfolio!P109</f>
        <v>0</v>
      </c>
      <c r="N109" s="29">
        <f>Portfolio!Q109</f>
        <v>0</v>
      </c>
      <c r="O109" s="25"/>
    </row>
    <row r="110" spans="11:15" ht="15">
      <c r="K110" s="28">
        <f>Portfolio!F110</f>
        <v>45657</v>
      </c>
      <c r="L110" s="29">
        <f>Portfolio!O110</f>
        <v>-2.8017984872338864E-2</v>
      </c>
      <c r="M110" s="29">
        <f>Portfolio!P110</f>
        <v>-2.3692181823666392E-2</v>
      </c>
      <c r="N110" s="29">
        <f>Portfolio!Q110</f>
        <v>-2.4061647881078563E-2</v>
      </c>
      <c r="O110" s="25"/>
    </row>
    <row r="111" spans="11:15" ht="15">
      <c r="K111" s="28">
        <f>Portfolio!F111</f>
        <v>45688</v>
      </c>
      <c r="L111" s="29">
        <f>Portfolio!O111</f>
        <v>-1.3185579285279636E-2</v>
      </c>
      <c r="M111" s="29">
        <f>Portfolio!P111</f>
        <v>-4.3542812529644426E-3</v>
      </c>
      <c r="N111" s="29">
        <f>Portfolio!Q111</f>
        <v>-2.932620248411455E-4</v>
      </c>
      <c r="O111" s="25"/>
    </row>
    <row r="112" spans="11:15" ht="15">
      <c r="K112" s="28">
        <f>Portfolio!F112</f>
        <v>45716</v>
      </c>
      <c r="L112" s="29">
        <f>Portfolio!O112</f>
        <v>0</v>
      </c>
      <c r="M112" s="29">
        <f>Portfolio!P112</f>
        <v>0</v>
      </c>
      <c r="N112" s="29">
        <f>Portfolio!Q112</f>
        <v>0</v>
      </c>
      <c r="O112" s="25"/>
    </row>
    <row r="113" spans="11:15" ht="15">
      <c r="K113" s="28">
        <f>Portfolio!F113</f>
        <v>45747</v>
      </c>
      <c r="L113" s="29">
        <f>Portfolio!O113</f>
        <v>-1.4526920009382827E-2</v>
      </c>
      <c r="M113" s="29">
        <f>Portfolio!P113</f>
        <v>-2.3500044331913883E-2</v>
      </c>
      <c r="N113" s="29">
        <f>Portfolio!Q113</f>
        <v>-3.2473168654444828E-2</v>
      </c>
      <c r="O113" s="25"/>
    </row>
    <row r="114" spans="11:15" ht="15">
      <c r="K114" s="28">
        <f>Portfolio!F114</f>
        <v>45777</v>
      </c>
      <c r="L114" s="29">
        <f>Portfolio!O114</f>
        <v>-7.3484065621700623E-3</v>
      </c>
      <c r="M114" s="29">
        <f>Portfolio!P114</f>
        <v>-1.7986896617307346E-2</v>
      </c>
      <c r="N114" s="29">
        <f>Portfolio!Q114</f>
        <v>-2.8595981609229382E-2</v>
      </c>
      <c r="O114" s="25"/>
    </row>
    <row r="115" spans="11:15" ht="15">
      <c r="K115" s="28">
        <f>Portfolio!F115</f>
        <v>45807</v>
      </c>
      <c r="L115" s="29">
        <f>Portfolio!O115</f>
        <v>0</v>
      </c>
      <c r="M115" s="29">
        <f>Portfolio!P115</f>
        <v>0</v>
      </c>
      <c r="N115" s="29">
        <f>Portfolio!Q115</f>
        <v>0</v>
      </c>
      <c r="O115" s="25"/>
    </row>
    <row r="116" spans="11:15" ht="15">
      <c r="K116" s="28">
        <f>Portfolio!F116</f>
        <v>45838</v>
      </c>
      <c r="L116" s="29">
        <f>Portfolio!O116</f>
        <v>0</v>
      </c>
      <c r="M116" s="29">
        <f>Portfolio!P116</f>
        <v>0</v>
      </c>
      <c r="N116" s="29">
        <f>Portfolio!Q116</f>
        <v>0</v>
      </c>
      <c r="O116" s="25"/>
    </row>
    <row r="117" spans="11:15" ht="15">
      <c r="K117" s="28">
        <f>Portfolio!F117</f>
        <v>45869</v>
      </c>
      <c r="L117" s="29">
        <f>Portfolio!O117</f>
        <v>0</v>
      </c>
      <c r="M117" s="29">
        <f>Portfolio!P117</f>
        <v>0</v>
      </c>
      <c r="N117" s="29">
        <f>Portfolio!Q117</f>
        <v>0</v>
      </c>
      <c r="O117" s="25"/>
    </row>
    <row r="118" spans="11:15" ht="15">
      <c r="K118" s="28">
        <f>Portfolio!F118</f>
        <v>45898</v>
      </c>
      <c r="L118" s="29">
        <f>Portfolio!O118</f>
        <v>0</v>
      </c>
      <c r="M118" s="29">
        <f>Portfolio!P118</f>
        <v>0</v>
      </c>
      <c r="N118" s="29">
        <f>Portfolio!Q118</f>
        <v>0</v>
      </c>
      <c r="O118" s="25"/>
    </row>
    <row r="119" spans="11:15" ht="15">
      <c r="K119" s="28">
        <f>Portfolio!F119</f>
        <v>45930</v>
      </c>
      <c r="L119" s="29">
        <f>Portfolio!O119</f>
        <v>0</v>
      </c>
      <c r="M119" s="29">
        <f>Portfolio!P119</f>
        <v>0</v>
      </c>
      <c r="N119" s="29">
        <f>Portfolio!Q119</f>
        <v>0</v>
      </c>
      <c r="O119" s="25"/>
    </row>
    <row r="120" spans="11:15" ht="15">
      <c r="K120" s="28">
        <f>Portfolio!F120</f>
        <v>45961</v>
      </c>
      <c r="L120" s="29">
        <f>Portfolio!O120</f>
        <v>0</v>
      </c>
      <c r="M120" s="29">
        <f>Portfolio!P120</f>
        <v>0</v>
      </c>
      <c r="N120" s="29">
        <f>Portfolio!Q120</f>
        <v>0</v>
      </c>
      <c r="O120" s="25"/>
    </row>
    <row r="121" spans="11:15" ht="15">
      <c r="K121" s="28">
        <f>Portfolio!F121</f>
        <v>45989</v>
      </c>
      <c r="L121" s="29">
        <f>Portfolio!O121</f>
        <v>0</v>
      </c>
      <c r="M121" s="29">
        <f>Portfolio!P121</f>
        <v>0</v>
      </c>
      <c r="N121" s="29">
        <f>Portfolio!Q121</f>
        <v>0</v>
      </c>
      <c r="O121" s="25"/>
    </row>
    <row r="122" spans="11:15" ht="15">
      <c r="K122" s="28">
        <f>Portfolio!F122</f>
        <v>46022</v>
      </c>
      <c r="L122" s="29">
        <f>Portfolio!O122</f>
        <v>-2.0172852670007346E-3</v>
      </c>
      <c r="M122" s="29">
        <f>Portfolio!P122</f>
        <v>0</v>
      </c>
      <c r="N122" s="29">
        <f>Portfolio!Q122</f>
        <v>0</v>
      </c>
      <c r="O122" s="25"/>
    </row>
    <row r="123" spans="11:15" ht="15">
      <c r="K123" s="28"/>
      <c r="L123" s="25"/>
      <c r="M123" s="25"/>
      <c r="N123" s="25"/>
      <c r="O123" s="25"/>
    </row>
    <row r="124" spans="11:15" ht="15">
      <c r="K124" s="28"/>
      <c r="L124" s="25"/>
      <c r="M124" s="25"/>
      <c r="N124" s="25"/>
      <c r="O124" s="25"/>
    </row>
    <row r="125" spans="11:15" ht="15">
      <c r="K125" s="28"/>
      <c r="L125" s="25"/>
      <c r="M125" s="25"/>
      <c r="N125" s="25"/>
      <c r="O125" s="25"/>
    </row>
    <row r="126" spans="11:15" ht="15">
      <c r="K126" s="28"/>
      <c r="L126" s="25"/>
      <c r="M126" s="25"/>
      <c r="N126" s="25"/>
      <c r="O126" s="25"/>
    </row>
    <row r="127" spans="11:15" ht="15">
      <c r="K127" s="28"/>
      <c r="L127" s="25"/>
      <c r="M127" s="25"/>
      <c r="N127" s="25"/>
      <c r="O127" s="25"/>
    </row>
    <row r="128" spans="11:15" ht="15">
      <c r="K128" s="28"/>
      <c r="L128" s="25"/>
      <c r="M128" s="25"/>
      <c r="N128" s="25"/>
      <c r="O128" s="25"/>
    </row>
    <row r="129" spans="11:15" ht="15">
      <c r="K129" s="28"/>
      <c r="L129" s="25"/>
      <c r="M129" s="25"/>
      <c r="N129" s="25"/>
      <c r="O129" s="25"/>
    </row>
    <row r="130" spans="11:15" ht="15">
      <c r="K130" s="28"/>
      <c r="L130" s="25"/>
      <c r="M130" s="25"/>
      <c r="N130" s="25"/>
      <c r="O130" s="25"/>
    </row>
    <row r="131" spans="11:15" ht="15">
      <c r="K131" s="28"/>
      <c r="L131" s="25"/>
      <c r="M131" s="25"/>
      <c r="N131" s="25"/>
      <c r="O131" s="25"/>
    </row>
    <row r="132" spans="11:15" ht="15">
      <c r="K132" s="28"/>
      <c r="L132" s="25"/>
      <c r="M132" s="25"/>
      <c r="N132" s="25"/>
      <c r="O132" s="25"/>
    </row>
    <row r="133" spans="11:15" ht="15">
      <c r="K133" s="28"/>
      <c r="L133" s="25"/>
      <c r="M133" s="25"/>
      <c r="N133" s="25"/>
      <c r="O133" s="25"/>
    </row>
    <row r="134" spans="11:15" ht="15">
      <c r="K134" s="28"/>
      <c r="L134" s="25"/>
      <c r="M134" s="25"/>
      <c r="N134" s="25"/>
      <c r="O134" s="25"/>
    </row>
    <row r="135" spans="11:15" ht="15">
      <c r="K135" s="28"/>
      <c r="L135" s="25"/>
      <c r="M135" s="25"/>
      <c r="N135" s="25"/>
      <c r="O135" s="25"/>
    </row>
    <row r="136" spans="11:15" ht="15">
      <c r="K136" s="28"/>
      <c r="L136" s="25"/>
      <c r="M136" s="25"/>
      <c r="N136" s="25"/>
      <c r="O136" s="25"/>
    </row>
    <row r="137" spans="11:15" ht="15">
      <c r="K137" s="28"/>
      <c r="L137" s="25"/>
      <c r="M137" s="25"/>
      <c r="N137" s="25"/>
      <c r="O137" s="25"/>
    </row>
    <row r="138" spans="11:15" ht="15">
      <c r="K138" s="28"/>
      <c r="L138" s="25"/>
      <c r="M138" s="25"/>
      <c r="N138" s="25"/>
      <c r="O138" s="25"/>
    </row>
    <row r="139" spans="11:15" ht="15">
      <c r="K139" s="28"/>
      <c r="L139" s="25"/>
      <c r="M139" s="25"/>
      <c r="N139" s="25"/>
      <c r="O139" s="25"/>
    </row>
    <row r="140" spans="11:15" ht="15">
      <c r="K140" s="28"/>
      <c r="L140" s="25"/>
      <c r="M140" s="25"/>
      <c r="N140" s="25"/>
      <c r="O140" s="25"/>
    </row>
    <row r="141" spans="11:15" ht="15">
      <c r="K141" s="28"/>
      <c r="L141" s="25"/>
      <c r="M141" s="25"/>
      <c r="N141" s="25"/>
      <c r="O141" s="25"/>
    </row>
    <row r="142" spans="11:15" ht="15">
      <c r="K142" s="28"/>
      <c r="L142" s="25"/>
      <c r="M142" s="25"/>
      <c r="N142" s="25"/>
      <c r="O142" s="25"/>
    </row>
    <row r="143" spans="11:15" ht="15">
      <c r="K143" s="28"/>
      <c r="L143" s="25"/>
      <c r="M143" s="25"/>
      <c r="N143" s="25"/>
      <c r="O143" s="25"/>
    </row>
  </sheetData>
  <mergeCells count="2">
    <mergeCell ref="A11:D11"/>
    <mergeCell ref="A12:D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Wenlong Zhang</cp:lastModifiedBy>
  <cp:revision/>
  <dcterms:created xsi:type="dcterms:W3CDTF">2026-10-21T00:48:28Z</dcterms:created>
  <dcterms:modified xsi:type="dcterms:W3CDTF">2026-10-22T02:59:08Z</dcterms:modified>
  <cp:category/>
  <cp:contentStatus/>
</cp:coreProperties>
</file>